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Listas" sheetId="2" state="visible" r:id="rId4"/>
    <sheet name="Ações" sheetId="3" state="visible" r:id="rId5"/>
    <sheet name="Repercussão" sheetId="4" state="visible" r:id="rId6"/>
    <sheet name="Por dia" sheetId="5" state="visible" r:id="rId7"/>
  </sheets>
  <definedNames>
    <definedName function="false" hidden="true" localSheetId="2" name="_xlnm._FilterDatabase" vbProcedure="false">Ações!$A$4:$U$404</definedName>
    <definedName function="false" hidden="true" localSheetId="3" name="_xlnm._FilterDatabase" vbProcedure="false">Repercussão!$A$4:$M$304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<sst xmlns="http://schemas.openxmlformats.org/spreadsheetml/2006/main" count="263" uniqueCount="198">
  <si>
    <t xml:space="preserve">GCA · GUERRILHEIROS</t>
  </si>
  <si>
    <t xml:space="preserve">Painel das squads regionais de comunicação · Piauí</t>
  </si>
  <si>
    <t xml:space="preserve">1º turno</t>
  </si>
  <si>
    <t xml:space="preserve">dias para a eleição</t>
  </si>
  <si>
    <t xml:space="preserve">Meta por squad (dia)</t>
  </si>
  <si>
    <t xml:space="preserve">meta total por dia</t>
  </si>
  <si>
    <t xml:space="preserve">Ver período</t>
  </si>
  <si>
    <t xml:space="preserve">Últimos 30 dias</t>
  </si>
  <si>
    <t xml:space="preserve">De</t>
  </si>
  <si>
    <t xml:space="preserve">até</t>
  </si>
  <si>
    <t xml:space="preserve">HOJE</t>
  </si>
  <si>
    <t xml:space="preserve">Concluídos hoje</t>
  </si>
  <si>
    <t xml:space="preserve">Meta do dia</t>
  </si>
  <si>
    <t xml:space="preserve">Atingimento</t>
  </si>
  <si>
    <t xml:space="preserve">Cadastrados hoje</t>
  </si>
  <si>
    <t xml:space="preserve">Repercussões hoje</t>
  </si>
  <si>
    <t xml:space="preserve">Vencem hoje</t>
  </si>
  <si>
    <t xml:space="preserve">NO PERÍODO ESCOLHIDO</t>
  </si>
  <si>
    <t xml:space="preserve">muda tudo daqui para baixo conforme o filtro do topo</t>
  </si>
  <si>
    <t xml:space="preserve">Ações</t>
  </si>
  <si>
    <t xml:space="preserve">Em produção</t>
  </si>
  <si>
    <t xml:space="preserve">Em aprovação</t>
  </si>
  <si>
    <t xml:space="preserve">Concluídos</t>
  </si>
  <si>
    <t xml:space="preserve">Atrasados</t>
  </si>
  <si>
    <t xml:space="preserve">Stand-by</t>
  </si>
  <si>
    <t xml:space="preserve">Checklist OK</t>
  </si>
  <si>
    <t xml:space="preserve">Audiovisuais</t>
  </si>
  <si>
    <t xml:space="preserve">REPERCUSSÃO NO PERÍODO</t>
  </si>
  <si>
    <t xml:space="preserve">Registradas</t>
  </si>
  <si>
    <t xml:space="preserve">Alcance</t>
  </si>
  <si>
    <t xml:space="preserve">Interações</t>
  </si>
  <si>
    <t xml:space="preserve">Positivas</t>
  </si>
  <si>
    <t xml:space="preserve">Neutras</t>
  </si>
  <si>
    <t xml:space="preserve">Negativas</t>
  </si>
  <si>
    <t xml:space="preserve">CONTEÚDOS CONCLUÍDOS POR DIA</t>
  </si>
  <si>
    <t xml:space="preserve">POR SQUAD</t>
  </si>
  <si>
    <t xml:space="preserve">Squad</t>
  </si>
  <si>
    <t xml:space="preserve">Produção</t>
  </si>
  <si>
    <t xml:space="preserve">Aprovação</t>
  </si>
  <si>
    <t xml:space="preserve">Repercussões</t>
  </si>
  <si>
    <t xml:space="preserve">Produção visual</t>
  </si>
  <si>
    <t xml:space="preserve">TOTAL</t>
  </si>
  <si>
    <t xml:space="preserve">POR ANALISTA</t>
  </si>
  <si>
    <t xml:space="preserve">Analista</t>
  </si>
  <si>
    <t xml:space="preserve">POR EMPRESA / PRODUTORA</t>
  </si>
  <si>
    <t xml:space="preserve">Empresa</t>
  </si>
  <si>
    <t xml:space="preserve">COMO PREENCHER</t>
  </si>
  <si>
    <t xml:space="preserve">1. Filtro do topo: escolha Hoje para ver só o dia de hoje, ou Últimos 7 dias, Este mês, Mês passado e Tudo. Para um intervalo seu, escolha Escolher datas e preencha De e até.</t>
  </si>
  <si>
    <t xml:space="preserve">2. O bloco HOJE é fixo no dia corrente. Do bloco NO PERÍODO ESCOLHIDO para baixo, tudo obedece ao filtro: cartões, repercussão, por squad, por analista e por empresa.</t>
  </si>
  <si>
    <t xml:space="preserve">3. No período, Ações, Atrasados, Stand-by e Checklist contam pela Data de cadastro. Concluídos conta pela data em Concluída em.</t>
  </si>
  <si>
    <t xml:space="preserve">4. Aba Ações: uma linha por conteúdo. As colunas com menu aceitam o que está na lista ou um valor digitado na hora.</t>
  </si>
  <si>
    <t xml:space="preserve">5. Em vídeo, spot, testemunhal e cobertura de obra, preencha Empresa / produtora e Editor responsável. O campo fica laranja enquanto faltar.</t>
  </si>
  <si>
    <t xml:space="preserve">6. As colunas cinza (Prazo, Conta na meta, Situação, Checklist e Audiovisual) se calculam sozinhas. A coluna Data de cadastro fica azul nas linhas dentro do período escolhido.</t>
  </si>
  <si>
    <t xml:space="preserve">7. O Checklist fica verde com OK quando a linha está completa, e laranja dizendo o que falta. Ao concluir, lembre de preencher Concluída em, o link e quem liberou.</t>
  </si>
  <si>
    <t xml:space="preserve">8. Uma ação conta na meta quando o Status vira Concluído. Quem move para Concluído é a coordenação, que assina em Liberado por.</t>
  </si>
  <si>
    <t xml:space="preserve">9. O que está em Stand-by fica de fora de toda contagem.</t>
  </si>
  <si>
    <t xml:space="preserve">10. Aba Por dia mostra o que saiu em cada data, com hoje em azul e o período escolhido em cinza claro. O gráfico mostra sempre os últimos 45 dias.</t>
  </si>
  <si>
    <t xml:space="preserve">11. Aba Repercussão: registre matéria, replicação, citação ou comentário que o conteúdo gerou.</t>
  </si>
  <si>
    <t xml:space="preserve">12. As células amarelas do topo (1º turno, meta por squad e o filtro de período) são as únicas que você edita aqui.</t>
  </si>
  <si>
    <t xml:space="preserve">13. Para incluir squad, pessoa, empresa, editor, veículo ou tipo novo, acrescente na aba Listas que o menu já pega.</t>
  </si>
  <si>
    <t xml:space="preserve">LISTAS</t>
  </si>
  <si>
    <t xml:space="preserve">Acrescente itens nestas colunas e os menus das outras abas crescem sozinhos</t>
  </si>
  <si>
    <t xml:space="preserve">Squads</t>
  </si>
  <si>
    <t xml:space="preserve">Responsáveis</t>
  </si>
  <si>
    <t xml:space="preserve">Tipo de conteúdo</t>
  </si>
  <si>
    <t xml:space="preserve">SLA (dias)</t>
  </si>
  <si>
    <t xml:space="preserve">Audiovisual?</t>
  </si>
  <si>
    <t xml:space="preserve">Empresa / produtora</t>
  </si>
  <si>
    <t xml:space="preserve">Editor</t>
  </si>
  <si>
    <t xml:space="preserve">Marca</t>
  </si>
  <si>
    <t xml:space="preserve">Canal</t>
  </si>
  <si>
    <t xml:space="preserve">Status</t>
  </si>
  <si>
    <t xml:space="preserve">Libera (coordenação)</t>
  </si>
  <si>
    <t xml:space="preserve">Veículo</t>
  </si>
  <si>
    <t xml:space="preserve">Tipo de repercussão</t>
  </si>
  <si>
    <t xml:space="preserve">Tom</t>
  </si>
  <si>
    <t xml:space="preserve">Período do painel</t>
  </si>
  <si>
    <t xml:space="preserve">Litoral</t>
  </si>
  <si>
    <t xml:space="preserve">Luiz Fernando de Sousa Gonzaga</t>
  </si>
  <si>
    <t xml:space="preserve">Vídeo</t>
  </si>
  <si>
    <t xml:space="preserve">Sim</t>
  </si>
  <si>
    <t xml:space="preserve">Equipe interna</t>
  </si>
  <si>
    <t xml:space="preserve">A definir</t>
  </si>
  <si>
    <t xml:space="preserve">Águas do Piauí</t>
  </si>
  <si>
    <t xml:space="preserve">Instagram</t>
  </si>
  <si>
    <t xml:space="preserve">Criação</t>
  </si>
  <si>
    <t xml:space="preserve">Cloves Costa</t>
  </si>
  <si>
    <t xml:space="preserve">Portal O Dia</t>
  </si>
  <si>
    <t xml:space="preserve">Matéria na imprensa</t>
  </si>
  <si>
    <t xml:space="preserve">Positiva</t>
  </si>
  <si>
    <t xml:space="preserve">Hoje</t>
  </si>
  <si>
    <t xml:space="preserve">Meio Norte</t>
  </si>
  <si>
    <t xml:space="preserve">Bruno (SA Propaganda)</t>
  </si>
  <si>
    <t xml:space="preserve">Spot</t>
  </si>
  <si>
    <t xml:space="preserve">SA Propaganda</t>
  </si>
  <si>
    <t xml:space="preserve">Águas de Teresina</t>
  </si>
  <si>
    <t xml:space="preserve">Facebook</t>
  </si>
  <si>
    <t xml:space="preserve">Pedro Santiago</t>
  </si>
  <si>
    <t xml:space="preserve">Portal AZ</t>
  </si>
  <si>
    <t xml:space="preserve">Replicação do material</t>
  </si>
  <si>
    <t xml:space="preserve">Neutra</t>
  </si>
  <si>
    <t xml:space="preserve">Ontem</t>
  </si>
  <si>
    <t xml:space="preserve">Cerrado</t>
  </si>
  <si>
    <t xml:space="preserve">Daniel Saturnino (Ícone)</t>
  </si>
  <si>
    <t xml:space="preserve">Testemunhal</t>
  </si>
  <si>
    <t xml:space="preserve">Conecta Piauí</t>
  </si>
  <si>
    <t xml:space="preserve">Águas de Timon</t>
  </si>
  <si>
    <t xml:space="preserve">WhatsApp</t>
  </si>
  <si>
    <t xml:space="preserve">Julia Pessoa</t>
  </si>
  <si>
    <t xml:space="preserve">Cidade Verde</t>
  </si>
  <si>
    <t xml:space="preserve">Citação da marca</t>
  </si>
  <si>
    <t xml:space="preserve">Negativa</t>
  </si>
  <si>
    <t xml:space="preserve">Últimos 7 dias</t>
  </si>
  <si>
    <t xml:space="preserve">Semiárido Norte</t>
  </si>
  <si>
    <t xml:space="preserve">Ana Isabel Monteiro de Sousa</t>
  </si>
  <si>
    <t xml:space="preserve">Nota / release</t>
  </si>
  <si>
    <t xml:space="preserve">Não</t>
  </si>
  <si>
    <t xml:space="preserve">Ícone Comunicação</t>
  </si>
  <si>
    <t xml:space="preserve">Site institucional</t>
  </si>
  <si>
    <t xml:space="preserve">Concluído</t>
  </si>
  <si>
    <t xml:space="preserve">GP1</t>
  </si>
  <si>
    <t xml:space="preserve">Entrevista</t>
  </si>
  <si>
    <t xml:space="preserve">Semiárido Sul</t>
  </si>
  <si>
    <t xml:space="preserve">Ivana Machado Vasconcelos</t>
  </si>
  <si>
    <t xml:space="preserve">Card / arte</t>
  </si>
  <si>
    <t xml:space="preserve">Produtora local</t>
  </si>
  <si>
    <t xml:space="preserve">Imprensa regional</t>
  </si>
  <si>
    <t xml:space="preserve">Rádio local</t>
  </si>
  <si>
    <t xml:space="preserve">Post ou story de terceiro</t>
  </si>
  <si>
    <t xml:space="preserve">Este mês</t>
  </si>
  <si>
    <t xml:space="preserve">Phillipe Xadai (Conecta Piauí)</t>
  </si>
  <si>
    <t xml:space="preserve">Matéria / reportagem</t>
  </si>
  <si>
    <t xml:space="preserve">Gráfica</t>
  </si>
  <si>
    <t xml:space="preserve">Rádio</t>
  </si>
  <si>
    <t xml:space="preserve">TV local</t>
  </si>
  <si>
    <t xml:space="preserve">Comentário em publicação</t>
  </si>
  <si>
    <t xml:space="preserve">Mês passado</t>
  </si>
  <si>
    <t xml:space="preserve">Maria Andreia Monteiro de Sousa</t>
  </si>
  <si>
    <t xml:space="preserve">Cobertura de obra</t>
  </si>
  <si>
    <t xml:space="preserve">TV</t>
  </si>
  <si>
    <t xml:space="preserve">Perfil no Instagram</t>
  </si>
  <si>
    <t xml:space="preserve">Outro</t>
  </si>
  <si>
    <t xml:space="preserve">Escolher datas</t>
  </si>
  <si>
    <t xml:space="preserve">Fernanda Messias de Carvalho</t>
  </si>
  <si>
    <t xml:space="preserve">Material impresso</t>
  </si>
  <si>
    <t xml:space="preserve">Comunicação interna</t>
  </si>
  <si>
    <t xml:space="preserve">Tudo</t>
  </si>
  <si>
    <t xml:space="preserve">Leonardo Costa (Conecta Piauí)</t>
  </si>
  <si>
    <t xml:space="preserve">Carro de som</t>
  </si>
  <si>
    <t xml:space="preserve">Marta Soares Lima</t>
  </si>
  <si>
    <t xml:space="preserve">Thyago Felipe Alves da Costa</t>
  </si>
  <si>
    <t xml:space="preserve">Beatriz Holanda (Ícone)</t>
  </si>
  <si>
    <t xml:space="preserve">Marcio Messias dos Santos</t>
  </si>
  <si>
    <t xml:space="preserve">Thaynara Rakel Rodrigues Costa</t>
  </si>
  <si>
    <t xml:space="preserve">Laurel Ferreira (Ícone)</t>
  </si>
  <si>
    <t xml:space="preserve">Gabriela de Oliveira Santos Carvalho</t>
  </si>
  <si>
    <t xml:space="preserve">Isaac Haron (Ícone)</t>
  </si>
  <si>
    <t xml:space="preserve">Virgiane Rodrigues Passos (férias)</t>
  </si>
  <si>
    <t xml:space="preserve">Pode acrescentar linhas abaixo de cada coluna até a linha 64. Os menus pegam sozinhos.</t>
  </si>
  <si>
    <t xml:space="preserve">AÇÕES</t>
  </si>
  <si>
    <t xml:space="preserve">Uma linha por conteúdo. As colunas cinza se calculam sozinhas. Dá para digitar fora da lista.</t>
  </si>
  <si>
    <t xml:space="preserve">Data de cadastro</t>
  </si>
  <si>
    <t xml:space="preserve">Responsável</t>
  </si>
  <si>
    <t xml:space="preserve">Editor responsável</t>
  </si>
  <si>
    <t xml:space="preserve">Município</t>
  </si>
  <si>
    <t xml:space="preserve">Título da ação</t>
  </si>
  <si>
    <t xml:space="preserve">Liberado por</t>
  </si>
  <si>
    <t xml:space="preserve">Prazo</t>
  </si>
  <si>
    <t xml:space="preserve">Concluída em</t>
  </si>
  <si>
    <t xml:space="preserve">Conta na meta</t>
  </si>
  <si>
    <t xml:space="preserve">Situação</t>
  </si>
  <si>
    <t xml:space="preserve">Checklist</t>
  </si>
  <si>
    <t xml:space="preserve">Link do material (SharePoint)</t>
  </si>
  <si>
    <t xml:space="preserve">Tamanho (MB)</t>
  </si>
  <si>
    <t xml:space="preserve">Observações</t>
  </si>
  <si>
    <t xml:space="preserve">Parnaíba</t>
  </si>
  <si>
    <t xml:space="preserve">Vídeo do avanço da obra de esgoto</t>
  </si>
  <si>
    <t xml:space="preserve">https://aegea.sharepoint.com/...</t>
  </si>
  <si>
    <t xml:space="preserve">exemplo de preenchimento</t>
  </si>
  <si>
    <t xml:space="preserve">REPERCUSSÃO</t>
  </si>
  <si>
    <t xml:space="preserve">O retorno que o conteúdo gerou: matéria, replicação, citação, comentário.</t>
  </si>
  <si>
    <t xml:space="preserve">Data</t>
  </si>
  <si>
    <t xml:space="preserve">Ação que gerou</t>
  </si>
  <si>
    <t xml:space="preserve">Título da repercussão</t>
  </si>
  <si>
    <t xml:space="preserve">Link da publicação</t>
  </si>
  <si>
    <t xml:space="preserve">Quem registrou</t>
  </si>
  <si>
    <t xml:space="preserve">Portal publica matéria sobre o avanço da obra</t>
  </si>
  <si>
    <t xml:space="preserve">https://...</t>
  </si>
  <si>
    <t xml:space="preserve">POR DIA</t>
  </si>
  <si>
    <t xml:space="preserve">Quanto saiu em cada dia. A tabela anda sozinha com o calendário.</t>
  </si>
  <si>
    <t xml:space="preserve">Dia</t>
  </si>
  <si>
    <t xml:space="preserve">Cadastrados</t>
  </si>
  <si>
    <t xml:space="preserve">Atingiu?</t>
  </si>
  <si>
    <t xml:space="preserve">Por squad</t>
  </si>
  <si>
    <t xml:space="preserve">Por analista</t>
  </si>
  <si>
    <t xml:space="preserve">Por empresa</t>
  </si>
  <si>
    <t xml:space="preserve">Período: de</t>
  </si>
  <si>
    <t xml:space="preserve">Estas duas datas saem do filtro do Painel. Não precisa mexer aqui.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</si>
</sst>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0%"/>
    <numFmt numFmtId="168" formatCode="#,##0"/>
    <numFmt numFmtId="169" formatCode="dd/mm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6B7C93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20"/>
      <color rgb="FF0027BD"/>
      <name val="Arial"/>
      <family val="0"/>
      <charset val="1"/>
    </font>
    <font>
      <sz val="9"/>
      <color rgb="FF6B7C93"/>
      <name val="Arial"/>
      <family val="0"/>
      <charset val="1"/>
    </font>
    <font>
      <b val="true"/>
      <sz val="11"/>
      <color rgb="FF12263F"/>
      <name val="Arial"/>
      <family val="0"/>
      <charset val="1"/>
    </font>
    <font>
      <b val="true"/>
      <sz val="10"/>
      <color rgb="FF0027BD"/>
      <name val="Arial"/>
      <family val="0"/>
      <charset val="1"/>
    </font>
    <font>
      <b val="true"/>
      <sz val="11"/>
      <color rgb="FF0027BD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18"/>
      <color rgb="FF0E7C5A"/>
      <name val="Arial"/>
      <family val="0"/>
      <charset val="1"/>
    </font>
    <font>
      <b val="true"/>
      <sz val="18"/>
      <color rgb="FF12263F"/>
      <name val="Arial"/>
      <family val="0"/>
      <charset val="1"/>
    </font>
    <font>
      <b val="true"/>
      <sz val="18"/>
      <color rgb="FF0027BD"/>
      <name val="Arial"/>
      <family val="0"/>
      <charset val="1"/>
    </font>
    <font>
      <b val="true"/>
      <sz val="18"/>
      <color rgb="FFB06A00"/>
      <name val="Arial"/>
      <family val="0"/>
      <charset val="1"/>
    </font>
    <font>
      <i val="true"/>
      <sz val="9"/>
      <color rgb="FF6B7C93"/>
      <name val="Arial"/>
      <family val="0"/>
      <charset val="1"/>
    </font>
    <font>
      <b val="true"/>
      <sz val="18"/>
      <color rgb="FFBE0F4B"/>
      <name val="Arial"/>
      <family val="0"/>
      <charset val="1"/>
    </font>
    <font>
      <b val="true"/>
      <sz val="18"/>
      <color rgb="FF6B7C9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2263F"/>
      <name val="Arial"/>
      <family val="0"/>
      <charset val="1"/>
    </font>
    <font>
      <sz val="10"/>
      <color rgb="FF12263F"/>
      <name val="Arial"/>
      <family val="0"/>
      <charset val="1"/>
    </font>
    <font>
      <sz val="9.5"/>
      <color rgb="FF6B7C9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6B7C93"/>
      <name val="Arial"/>
      <family val="0"/>
      <charset val="1"/>
    </font>
    <font>
      <b val="true"/>
      <sz val="9"/>
      <color rgb="FF0027B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27BD"/>
        <bgColor rgb="FF000080"/>
      </patternFill>
    </fill>
    <fill>
      <patternFill patternType="solid">
        <fgColor rgb="FF17E3CB"/>
        <bgColor rgb="FF00CCFF"/>
      </patternFill>
    </fill>
    <fill>
      <patternFill patternType="solid">
        <fgColor rgb="FFFFF2B2"/>
        <bgColor rgb="FFFBF0DE"/>
      </patternFill>
    </fill>
    <fill>
      <patternFill patternType="solid">
        <fgColor rgb="FFF1F5FA"/>
        <bgColor rgb="FFE8ECF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CE4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name val="Arial"/>
        <charset val="1"/>
        <family val="0"/>
        <b val="1"/>
        <color rgb="FFBE0F4B"/>
        <sz val="10"/>
      </font>
      <fill>
        <patternFill>
          <bgColor rgb="FFFCE7EE"/>
        </patternFill>
      </fill>
    </dxf>
    <dxf>
      <fill>
        <patternFill patternType="solid">
          <fgColor rgb="FF0027BD"/>
          <bgColor rgb="FF000000"/>
        </patternFill>
      </fill>
    </dxf>
    <dxf>
      <fill>
        <patternFill patternType="solid">
          <fgColor rgb="FFE8EC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2263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7C93"/>
          <bgColor rgb="FF000000"/>
        </patternFill>
      </fill>
    </dxf>
    <dxf>
      <fill>
        <patternFill patternType="solid">
          <fgColor rgb="FFF1F5FA"/>
          <bgColor rgb="FF000000"/>
        </patternFill>
      </fill>
    </dxf>
    <dxf>
      <fill>
        <patternFill patternType="solid">
          <fgColor rgb="FFE2F4EC"/>
          <bgColor rgb="FF000000"/>
        </patternFill>
      </fill>
    </dxf>
    <dxf>
      <fill>
        <patternFill patternType="solid">
          <fgColor rgb="FF0E7C5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color rgb="FF0E7C5A"/>
        <sz val="10"/>
      </font>
      <fill>
        <patternFill>
          <bgColor rgb="FFE2F4EC"/>
        </patternFill>
      </fill>
    </dxf>
    <dxf>
      <font>
        <name val="Arial"/>
        <charset val="1"/>
        <family val="0"/>
        <b val="1"/>
        <color rgb="FFB06A00"/>
        <sz val="10"/>
      </font>
      <fill>
        <patternFill>
          <bgColor rgb="FFFBF0DE"/>
        </patternFill>
      </fill>
    </dxf>
    <dxf>
      <fill>
        <patternFill>
          <bgColor rgb="FFFBF0DE"/>
        </patternFill>
      </fill>
    </dxf>
    <dxf>
      <font>
        <name val="Arial"/>
        <charset val="1"/>
        <family val="0"/>
        <b val="1"/>
        <color rgb="FF0027BD"/>
        <sz val="10"/>
      </font>
      <fill>
        <patternFill>
          <bgColor rgb="FFE8ECFB"/>
        </patternFill>
      </fill>
    </dxf>
    <dxf>
      <fill>
        <patternFill>
          <bgColor rgb="FFF1F5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6A00"/>
      <rgbColor rgb="FF800080"/>
      <rgbColor rgb="FF0E7C5A"/>
      <rgbColor rgb="FFF1F5FA"/>
      <rgbColor rgb="FF878787"/>
      <rgbColor rgb="FF9999FF"/>
      <rgbColor rgb="FFBE0F4B"/>
      <rgbColor rgb="FFFBF0DE"/>
      <rgbColor rgb="FFE2F4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B"/>
      <rgbColor rgb="FFDCE4EE"/>
      <rgbColor rgb="FFFFF2B2"/>
      <rgbColor rgb="FF99CCFF"/>
      <rgbColor rgb="FFFF99CC"/>
      <rgbColor rgb="FFCC99FF"/>
      <rgbColor rgb="FFFCE7EE"/>
      <rgbColor rgb="FF3366FF"/>
      <rgbColor rgb="FF17E3CB"/>
      <rgbColor rgb="FF99CC00"/>
      <rgbColor rgb="FFFFCC00"/>
      <rgbColor rgb="FFFF9900"/>
      <rgbColor rgb="FFFF6600"/>
      <rgbColor rgb="FF6B7C93"/>
      <rgbColor rgb="FF969696"/>
      <rgbColor rgb="FF12263F"/>
      <rgbColor rgb="FF339966"/>
      <rgbColor rgb="FF003300"/>
      <rgbColor rgb="FF333300"/>
      <rgbColor rgb="FF993300"/>
      <rgbColor rgb="FF993366"/>
      <rgbColor rgb="FF0027B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Conteúdos concluídos por dia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'Por dia'!C4</c:f>
              <c:strCache>
                <c:ptCount val="1"/>
                <c:pt idx="0">
                  <c:v>Concluídos</c:v>
                </c:pt>
              </c:strCache>
            </c:strRef>
          </c:tx>
          <c:spPr>
            <a:solidFill>
              <a:srgbClr val="0027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dia'!$A$5:$A$49</c:f>
              <c:strCache>
                <c:ptCount val="45"/>
                <c:pt idx="0">
                  <c:v>02/08</c:v>
                </c:pt>
                <c:pt idx="1">
                  <c:v>03/08</c:v>
                </c:pt>
                <c:pt idx="2">
                  <c:v>04/08</c:v>
                </c:pt>
                <c:pt idx="3">
                  <c:v>05/08</c:v>
                </c:pt>
                <c:pt idx="4">
                  <c:v>06/08</c:v>
                </c:pt>
                <c:pt idx="5">
                  <c:v>07/08</c:v>
                </c:pt>
                <c:pt idx="6">
                  <c:v>08/08</c:v>
                </c:pt>
                <c:pt idx="7">
                  <c:v>09/08</c:v>
                </c:pt>
                <c:pt idx="8">
                  <c:v>10/08</c:v>
                </c:pt>
                <c:pt idx="9">
                  <c:v>11/08</c:v>
                </c:pt>
                <c:pt idx="10">
                  <c:v>12/08</c:v>
                </c:pt>
                <c:pt idx="11">
                  <c:v>13/08</c:v>
                </c:pt>
                <c:pt idx="12">
                  <c:v>14/08</c:v>
                </c:pt>
                <c:pt idx="13">
                  <c:v>15/08</c:v>
                </c:pt>
                <c:pt idx="14">
                  <c:v>16/08</c:v>
                </c:pt>
                <c:pt idx="15">
                  <c:v>17/08</c:v>
                </c:pt>
                <c:pt idx="16">
                  <c:v>18/08</c:v>
                </c:pt>
                <c:pt idx="17">
                  <c:v>19/08</c:v>
                </c:pt>
                <c:pt idx="18">
                  <c:v>20/08</c:v>
                </c:pt>
                <c:pt idx="19">
                  <c:v>21/08</c:v>
                </c:pt>
                <c:pt idx="20">
                  <c:v>22/08</c:v>
                </c:pt>
                <c:pt idx="21">
                  <c:v>23/08</c:v>
                </c:pt>
                <c:pt idx="22">
                  <c:v>24/08</c:v>
                </c:pt>
                <c:pt idx="23">
                  <c:v>25/08</c:v>
                </c:pt>
                <c:pt idx="24">
                  <c:v>26/08</c:v>
                </c:pt>
                <c:pt idx="25">
                  <c:v>27/08</c:v>
                </c:pt>
                <c:pt idx="26">
                  <c:v>28/08</c:v>
                </c:pt>
                <c:pt idx="27">
                  <c:v>29/08</c:v>
                </c:pt>
                <c:pt idx="28">
                  <c:v>30/08</c:v>
                </c:pt>
                <c:pt idx="29">
                  <c:v>31/08</c:v>
                </c:pt>
                <c:pt idx="30">
                  <c:v>01/09</c:v>
                </c:pt>
                <c:pt idx="31">
                  <c:v>02/09</c:v>
                </c:pt>
                <c:pt idx="32">
                  <c:v>03/09</c:v>
                </c:pt>
                <c:pt idx="33">
                  <c:v>04/09</c:v>
                </c:pt>
                <c:pt idx="34">
                  <c:v>05/09</c:v>
                </c:pt>
                <c:pt idx="35">
                  <c:v>06/09</c:v>
                </c:pt>
                <c:pt idx="36">
                  <c:v>07/09</c:v>
                </c:pt>
                <c:pt idx="37">
                  <c:v>08/09</c:v>
                </c:pt>
                <c:pt idx="38">
                  <c:v>09/09</c:v>
                </c:pt>
                <c:pt idx="39">
                  <c:v>10/09</c:v>
                </c:pt>
                <c:pt idx="40">
                  <c:v>11/09</c:v>
                </c:pt>
                <c:pt idx="41">
                  <c:v>12/09</c:v>
                </c:pt>
                <c:pt idx="42">
                  <c:v>13/09</c:v>
                </c:pt>
                <c:pt idx="43">
                  <c:v>14/09</c:v>
                </c:pt>
                <c:pt idx="44">
                  <c:v>15/09</c:v>
                </c:pt>
              </c:strCache>
            </c:strRef>
          </c:cat>
          <c:val>
            <c:numRef>
              <c:f>'Por dia'!$C$5:$C$49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</c:ser>
        <c:gapWidth val="150"/>
        <c:overlap val="0"/>
        <c:axId val="45042859"/>
        <c:axId val="62411259"/>
      </c:barChart>
      <c:catAx>
        <c:axId val="45042859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11259"/>
        <c:crosses val="autoZero"/>
        <c:auto val="1"/>
        <c:lblAlgn val="ctr"/>
        <c:lblOffset val="100"/>
        <c:noMultiLvlLbl val="0"/>
      </c:catAx>
      <c:valAx>
        <c:axId val="624112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428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70560</xdr:rowOff>
    </xdr:from>
    <xdr:to>
      <xdr:col>10</xdr:col>
      <xdr:colOff>750600</xdr:colOff>
      <xdr:row>35</xdr:row>
      <xdr:rowOff>92520</xdr:rowOff>
    </xdr:to>
    <xdr:graphicFrame>
      <xdr:nvGraphicFramePr>
        <xdr:cNvPr id="0" name="Chart 1"/>
        <xdr:cNvGraphicFramePr/>
      </xdr:nvGraphicFramePr>
      <xdr:xfrm>
        <a:off x="0" y="4943520"/>
        <a:ext cx="122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3"/>
    <col collapsed="false" customWidth="true" hidden="false" outlineLevel="0" max="5" min="5" style="0" width="24"/>
    <col collapsed="false" customWidth="true" hidden="false" outlineLevel="0" max="7" min="6" style="0" width="13"/>
    <col collapsed="false" customWidth="true" hidden="false" outlineLevel="0" max="8" min="8" style="0" width="24"/>
    <col collapsed="false" customWidth="true" hidden="false" outlineLevel="0" max="9" min="9" style="0" width="4"/>
    <col collapsed="false" customWidth="true" hidden="false" outlineLevel="0" max="10" min="10" style="0" width="20"/>
    <col collapsed="false" customWidth="true" hidden="false" outlineLevel="0" max="15" min="11" style="0" width="13"/>
  </cols>
  <sheetData>
    <row r="1" customFormat="false" ht="25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3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5" customFormat="false" ht="24.45" hidden="false" customHeight="false" outlineLevel="0" collapsed="false">
      <c r="A5" s="5" t="s">
        <v>2</v>
      </c>
      <c r="B5" s="6" t="n">
        <v>46299</v>
      </c>
      <c r="C5" s="7" t="n">
        <f aca="true">IF($B$5="","",MAX(0,$B$5-TODAY()))</f>
        <v>19</v>
      </c>
      <c r="D5" s="8" t="s">
        <v>3</v>
      </c>
    </row>
    <row r="6" customFormat="false" ht="15" hidden="false" customHeight="false" outlineLevel="0" collapsed="false">
      <c r="A6" s="5" t="s">
        <v>4</v>
      </c>
      <c r="B6" s="9" t="n">
        <v>10</v>
      </c>
      <c r="C6" s="10" t="n">
        <f aca="false">B6*MAX(1,COUNTA(Listas!$A$5:$A$64))</f>
        <v>60</v>
      </c>
      <c r="D6" s="8" t="s">
        <v>5</v>
      </c>
    </row>
    <row r="7" customFormat="false" ht="19.5" hidden="false" customHeight="true" outlineLevel="0" collapsed="false">
      <c r="A7" s="5" t="s">
        <v>6</v>
      </c>
      <c r="B7" s="11" t="s">
        <v>7</v>
      </c>
      <c r="C7" s="12" t="s">
        <v>8</v>
      </c>
      <c r="D7" s="13"/>
      <c r="E7" s="12" t="s">
        <v>9</v>
      </c>
      <c r="F7" s="13"/>
      <c r="G7" s="14" t="str">
        <f aca="false">IF('Por dia'!$S$5&gt;=DATE(2099,1,1),"tudo o que está cadastrado","de "&amp;TEXT('Por dia'!$R$5,"dd/mm/yyyy")&amp;" a "&amp;TEXT('Por dia'!$S$5,"dd/mm/yyyy"))</f>
        <v>de 17/08/2026 a 15/09/2026</v>
      </c>
    </row>
    <row r="8" customFormat="false" ht="15" hidden="false" customHeight="false" outlineLevel="0" collapsed="false">
      <c r="A8" s="15" t="s">
        <v>10</v>
      </c>
    </row>
    <row r="9" customFormat="false" ht="24" hidden="false" customHeight="true" outlineLevel="0" collapsed="false">
      <c r="A9" s="16" t="s">
        <v>11</v>
      </c>
      <c r="B9" s="16" t="s">
        <v>12</v>
      </c>
      <c r="C9" s="16" t="s">
        <v>13</v>
      </c>
      <c r="D9" s="16" t="s">
        <v>14</v>
      </c>
      <c r="E9" s="16" t="s">
        <v>15</v>
      </c>
      <c r="F9" s="16" t="s">
        <v>16</v>
      </c>
    </row>
    <row r="10" customFormat="false" ht="30" hidden="false" customHeight="true" outlineLevel="0" collapsed="false">
      <c r="A10" s="17" t="n">
        <f aca="true">COUNTIFS(Ações!$N$6:$N$404,TODAY(),Ações!$O$6:$O$404,"Sim")</f>
        <v>0</v>
      </c>
      <c r="B10" s="18" t="n">
        <f aca="false">$C$6</f>
        <v>60</v>
      </c>
      <c r="C10" s="19" t="n">
        <f aca="true">IF($C$6=0,"-",COUNTIFS(Ações!$N$6:$N$404,TODAY(),Ações!$O$6:$O$404,"Sim")/$C$6)</f>
        <v>0</v>
      </c>
      <c r="D10" s="18" t="n">
        <f aca="true">COUNTIF(Ações!$A$6:$A$404,TODAY())</f>
        <v>0</v>
      </c>
      <c r="E10" s="18" t="n">
        <f aca="true">COUNTIF(Repercussão!$A$6:$A$304,TODAY())</f>
        <v>0</v>
      </c>
      <c r="F10" s="20" t="n">
        <f aca="true">COUNTIFS(Ações!$M$6:$M$404,TODAY(),Ações!$O$6:$O$404,"Não")</f>
        <v>0</v>
      </c>
    </row>
    <row r="12" customFormat="false" ht="15" hidden="false" customHeight="false" outlineLevel="0" collapsed="false">
      <c r="A12" s="15" t="s">
        <v>17</v>
      </c>
      <c r="E12" s="21" t="s">
        <v>18</v>
      </c>
    </row>
    <row r="13" customFormat="false" ht="24" hidden="false" customHeight="true" outlineLevel="0" collapsed="false">
      <c r="A13" s="16" t="s">
        <v>19</v>
      </c>
      <c r="B13" s="16" t="s">
        <v>20</v>
      </c>
      <c r="C13" s="16" t="s">
        <v>21</v>
      </c>
      <c r="D13" s="16" t="s">
        <v>22</v>
      </c>
      <c r="E13" s="16" t="s">
        <v>23</v>
      </c>
      <c r="F13" s="16" t="s">
        <v>24</v>
      </c>
      <c r="G13" s="16" t="s">
        <v>25</v>
      </c>
      <c r="H13" s="16" t="s">
        <v>26</v>
      </c>
    </row>
    <row r="14" customFormat="false" ht="30" hidden="false" customHeight="true" outlineLevel="0" collapsed="false">
      <c r="A14" s="18" t="n">
        <f aca="false">COUNTIFS(Ações!$A$6:$A$404,"&gt;="&amp;'Por dia'!$R$5,Ações!$A$6:$A$404,"&lt;="&amp;'Por dia'!$S$5)</f>
        <v>0</v>
      </c>
      <c r="B14" s="18" t="n">
        <f aca="false">COUNTIFS(Ações!$A$6:$A$404,"&gt;="&amp;'Por dia'!$R$5,Ações!$A$6:$A$404,"&lt;="&amp;'Por dia'!$S$5,Ações!$K$6:$K$404,"Em produção")</f>
        <v>0</v>
      </c>
      <c r="C14" s="20" t="n">
        <f aca="false">COUNTIFS(Ações!$A$6:$A$404,"&gt;="&amp;'Por dia'!$R$5,Ações!$A$6:$A$404,"&lt;="&amp;'Por dia'!$S$5,Ações!$K$6:$K$404,"Em aprovação")</f>
        <v>0</v>
      </c>
      <c r="D14" s="17" t="n">
        <f aca="false">COUNTIFS(Ações!$N$6:$N$404,"&gt;="&amp;'Por dia'!$R$5,Ações!$N$6:$N$404,"&lt;="&amp;'Por dia'!$S$5,Ações!$O$6:$O$404,"Sim")</f>
        <v>0</v>
      </c>
      <c r="E14" s="22" t="n">
        <f aca="false">COUNTIFS(Ações!$A$6:$A$404,"&gt;="&amp;'Por dia'!$R$5,Ações!$A$6:$A$404,"&lt;="&amp;'Por dia'!$S$5,Ações!$P$6:$P$404,"Atrasada")</f>
        <v>0</v>
      </c>
      <c r="F14" s="23" t="n">
        <f aca="false">COUNTIFS(Ações!$A$6:$A$404,"&gt;="&amp;'Por dia'!$R$5,Ações!$A$6:$A$404,"&lt;="&amp;'Por dia'!$S$5,Ações!$K$6:$K$404,"Stand-by")</f>
        <v>0</v>
      </c>
      <c r="G14" s="17" t="n">
        <f aca="false">COUNTIFS(Ações!$A$6:$A$404,"&gt;="&amp;'Por dia'!$R$5,Ações!$A$6:$A$404,"&lt;="&amp;'Por dia'!$S$5,Ações!$Q$6:$Q$404,"OK")</f>
        <v>0</v>
      </c>
      <c r="H14" s="24" t="n">
        <f aca="false">COUNTIFS(Ações!$A$6:$A$404,"&gt;="&amp;'Por dia'!$R$5,Ações!$A$6:$A$404,"&lt;="&amp;'Por dia'!$S$5,Ações!$U$6:$U$404,"Sim")</f>
        <v>0</v>
      </c>
    </row>
    <row r="16" customFormat="false" ht="15" hidden="false" customHeight="false" outlineLevel="0" collapsed="false">
      <c r="A16" s="15" t="s">
        <v>27</v>
      </c>
    </row>
    <row r="17" customFormat="false" ht="24" hidden="false" customHeight="true" outlineLevel="0" collapsed="false">
      <c r="A17" s="16" t="s">
        <v>28</v>
      </c>
      <c r="B17" s="16" t="s">
        <v>29</v>
      </c>
      <c r="C17" s="16" t="s">
        <v>30</v>
      </c>
      <c r="D17" s="16" t="s">
        <v>31</v>
      </c>
      <c r="E17" s="16" t="s">
        <v>32</v>
      </c>
      <c r="F17" s="16" t="s">
        <v>33</v>
      </c>
    </row>
    <row r="18" customFormat="false" ht="30" hidden="false" customHeight="true" outlineLevel="0" collapsed="false">
      <c r="A18" s="18" t="n">
        <f aca="false">COUNTIFS(Repercussão!$A$6:$A$304,"&gt;="&amp;'Por dia'!$R$5,Repercussão!$A$6:$A$304,"&lt;="&amp;'Por dia'!$S$5)</f>
        <v>0</v>
      </c>
      <c r="B18" s="25" t="n">
        <f aca="false">SUMIFS(Repercussão!$G$6:$G$304,Repercussão!$A$6:$A$304,"&gt;="&amp;'Por dia'!$R$5,Repercussão!$A$6:$A$304,"&lt;="&amp;'Por dia'!$S$5)</f>
        <v>0</v>
      </c>
      <c r="C18" s="25" t="n">
        <f aca="false">SUMIFS(Repercussão!$H$6:$H$304,Repercussão!$A$6:$A$304,"&gt;="&amp;'Por dia'!$R$5,Repercussão!$A$6:$A$304,"&lt;="&amp;'Por dia'!$S$5)</f>
        <v>0</v>
      </c>
      <c r="D18" s="17" t="n">
        <f aca="false">COUNTIFS(Repercussão!$A$6:$A$304,"&gt;="&amp;'Por dia'!$R$5,Repercussão!$A$6:$A$304,"&lt;="&amp;'Por dia'!$S$5,Repercussão!$I$6:$I$304,"Positiva")</f>
        <v>0</v>
      </c>
      <c r="E18" s="18" t="n">
        <f aca="false">COUNTIFS(Repercussão!$A$6:$A$304,"&gt;="&amp;'Por dia'!$R$5,Repercussão!$A$6:$A$304,"&lt;="&amp;'Por dia'!$S$5,Repercussão!$I$6:$I$304,"Neutra")</f>
        <v>0</v>
      </c>
      <c r="F18" s="22" t="n">
        <f aca="false">COUNTIFS(Repercussão!$A$6:$A$304,"&gt;="&amp;'Por dia'!$R$5,Repercussão!$A$6:$A$304,"&lt;="&amp;'Por dia'!$S$5,Repercussão!$I$6:$I$304,"Negativa")</f>
        <v>0</v>
      </c>
    </row>
    <row r="21" customFormat="false" ht="15" hidden="false" customHeight="false" outlineLevel="0" collapsed="false">
      <c r="A21" s="15" t="s">
        <v>34</v>
      </c>
    </row>
    <row r="39" customFormat="false" ht="15" hidden="false" customHeight="false" outlineLevel="0" collapsed="false">
      <c r="A39" s="15" t="s">
        <v>35</v>
      </c>
    </row>
    <row r="40" customFormat="false" ht="30" hidden="false" customHeight="true" outlineLevel="0" collapsed="false">
      <c r="A40" s="26" t="s">
        <v>36</v>
      </c>
      <c r="B40" s="26" t="s">
        <v>19</v>
      </c>
      <c r="C40" s="26" t="s">
        <v>37</v>
      </c>
      <c r="D40" s="26" t="s">
        <v>38</v>
      </c>
      <c r="E40" s="26" t="s">
        <v>22</v>
      </c>
      <c r="F40" s="26" t="s">
        <v>23</v>
      </c>
      <c r="G40" s="26" t="s">
        <v>39</v>
      </c>
      <c r="H40" s="26" t="s">
        <v>40</v>
      </c>
    </row>
    <row r="41" customFormat="false" ht="15" hidden="false" customHeight="false" outlineLevel="0" collapsed="false">
      <c r="A41" s="27" t="str">
        <f aca="false">Listas!A5</f>
        <v>Litoral</v>
      </c>
      <c r="B41" s="28" t="n">
        <f aca="false">COUNTIFS(Ações!$B$6:$B$404,$A41,Ações!$A$6:$A$404,"&gt;="&amp;'Por dia'!$R$5,Ações!$A$6:$A$404,"&lt;="&amp;'Por dia'!$S$5)</f>
        <v>0</v>
      </c>
      <c r="C41" s="28" t="n">
        <f aca="false">COUNTIFS(Ações!$B$6:$B$404,$A41,Ações!$A$6:$A$404,"&gt;="&amp;'Por dia'!$R$5,Ações!$A$6:$A$404,"&lt;="&amp;'Por dia'!$S$5,Ações!$K$6:$K$404,"Em produção")</f>
        <v>0</v>
      </c>
      <c r="D41" s="28" t="n">
        <f aca="false">COUNTIFS(Ações!$B$6:$B$404,$A41,Ações!$A$6:$A$404,"&gt;="&amp;'Por dia'!$R$5,Ações!$A$6:$A$404,"&lt;="&amp;'Por dia'!$S$5,Ações!$K$6:$K$404,"Em aprovação")</f>
        <v>0</v>
      </c>
      <c r="E41" s="28" t="n">
        <f aca="false">COUNTIFS(Ações!$B$6:$B$404,$A41,Ações!$N$6:$N$404,"&gt;="&amp;'Por dia'!$R$5,Ações!$N$6:$N$404,"&lt;="&amp;'Por dia'!$S$5,Ações!$O$6:$O$404,"Sim")</f>
        <v>0</v>
      </c>
      <c r="F41" s="28" t="n">
        <f aca="false">COUNTIFS(Ações!$B$6:$B$404,$A41,Ações!$A$6:$A$404,"&gt;="&amp;'Por dia'!$R$5,Ações!$A$6:$A$404,"&lt;="&amp;'Por dia'!$S$5,Ações!$P$6:$P$404,"Atrasada")</f>
        <v>0</v>
      </c>
      <c r="G41" s="28" t="n">
        <f aca="false">COUNTIFS(Repercussão!$B$6:$B$304,$A41,Repercussão!$A$6:$A$304,"&gt;="&amp;'Por dia'!$R$5,Repercussão!$A$6:$A$304,"&lt;="&amp;'Por dia'!$S$5)</f>
        <v>0</v>
      </c>
      <c r="H41" s="14" t="str">
        <f aca="false">IF($E41=0,"",REPT("|",MIN(22,$E41)))</f>
        <v/>
      </c>
    </row>
    <row r="42" customFormat="false" ht="15" hidden="false" customHeight="false" outlineLevel="0" collapsed="false">
      <c r="A42" s="27" t="str">
        <f aca="false">Listas!A6</f>
        <v>Meio Norte</v>
      </c>
      <c r="B42" s="28" t="n">
        <f aca="false">COUNTIFS(Ações!$B$6:$B$404,$A42,Ações!$A$6:$A$404,"&gt;="&amp;'Por dia'!$R$5,Ações!$A$6:$A$404,"&lt;="&amp;'Por dia'!$S$5)</f>
        <v>0</v>
      </c>
      <c r="C42" s="28" t="n">
        <f aca="false">COUNTIFS(Ações!$B$6:$B$404,$A42,Ações!$A$6:$A$404,"&gt;="&amp;'Por dia'!$R$5,Ações!$A$6:$A$404,"&lt;="&amp;'Por dia'!$S$5,Ações!$K$6:$K$404,"Em produção")</f>
        <v>0</v>
      </c>
      <c r="D42" s="28" t="n">
        <f aca="false">COUNTIFS(Ações!$B$6:$B$404,$A42,Ações!$A$6:$A$404,"&gt;="&amp;'Por dia'!$R$5,Ações!$A$6:$A$404,"&lt;="&amp;'Por dia'!$S$5,Ações!$K$6:$K$404,"Em aprovação")</f>
        <v>0</v>
      </c>
      <c r="E42" s="28" t="n">
        <f aca="false">COUNTIFS(Ações!$B$6:$B$404,$A42,Ações!$N$6:$N$404,"&gt;="&amp;'Por dia'!$R$5,Ações!$N$6:$N$404,"&lt;="&amp;'Por dia'!$S$5,Ações!$O$6:$O$404,"Sim")</f>
        <v>0</v>
      </c>
      <c r="F42" s="28" t="n">
        <f aca="false">COUNTIFS(Ações!$B$6:$B$404,$A42,Ações!$A$6:$A$404,"&gt;="&amp;'Por dia'!$R$5,Ações!$A$6:$A$404,"&lt;="&amp;'Por dia'!$S$5,Ações!$P$6:$P$404,"Atrasada")</f>
        <v>0</v>
      </c>
      <c r="G42" s="28" t="n">
        <f aca="false">COUNTIFS(Repercussão!$B$6:$B$304,$A42,Repercussão!$A$6:$A$304,"&gt;="&amp;'Por dia'!$R$5,Repercussão!$A$6:$A$304,"&lt;="&amp;'Por dia'!$S$5)</f>
        <v>0</v>
      </c>
      <c r="H42" s="14" t="str">
        <f aca="false">IF($E42=0,"",REPT("|",MIN(22,$E42)))</f>
        <v/>
      </c>
    </row>
    <row r="43" customFormat="false" ht="15" hidden="false" customHeight="false" outlineLevel="0" collapsed="false">
      <c r="A43" s="27" t="str">
        <f aca="false">Listas!A7</f>
        <v>Cerrado</v>
      </c>
      <c r="B43" s="28" t="n">
        <f aca="false">COUNTIFS(Ações!$B$6:$B$404,$A43,Ações!$A$6:$A$404,"&gt;="&amp;'Por dia'!$R$5,Ações!$A$6:$A$404,"&lt;="&amp;'Por dia'!$S$5)</f>
        <v>0</v>
      </c>
      <c r="C43" s="28" t="n">
        <f aca="false">COUNTIFS(Ações!$B$6:$B$404,$A43,Ações!$A$6:$A$404,"&gt;="&amp;'Por dia'!$R$5,Ações!$A$6:$A$404,"&lt;="&amp;'Por dia'!$S$5,Ações!$K$6:$K$404,"Em produção")</f>
        <v>0</v>
      </c>
      <c r="D43" s="28" t="n">
        <f aca="false">COUNTIFS(Ações!$B$6:$B$404,$A43,Ações!$A$6:$A$404,"&gt;="&amp;'Por dia'!$R$5,Ações!$A$6:$A$404,"&lt;="&amp;'Por dia'!$S$5,Ações!$K$6:$K$404,"Em aprovação")</f>
        <v>0</v>
      </c>
      <c r="E43" s="28" t="n">
        <f aca="false">COUNTIFS(Ações!$B$6:$B$404,$A43,Ações!$N$6:$N$404,"&gt;="&amp;'Por dia'!$R$5,Ações!$N$6:$N$404,"&lt;="&amp;'Por dia'!$S$5,Ações!$O$6:$O$404,"Sim")</f>
        <v>0</v>
      </c>
      <c r="F43" s="28" t="n">
        <f aca="false">COUNTIFS(Ações!$B$6:$B$404,$A43,Ações!$A$6:$A$404,"&gt;="&amp;'Por dia'!$R$5,Ações!$A$6:$A$404,"&lt;="&amp;'Por dia'!$S$5,Ações!$P$6:$P$404,"Atrasada")</f>
        <v>0</v>
      </c>
      <c r="G43" s="28" t="n">
        <f aca="false">COUNTIFS(Repercussão!$B$6:$B$304,$A43,Repercussão!$A$6:$A$304,"&gt;="&amp;'Por dia'!$R$5,Repercussão!$A$6:$A$304,"&lt;="&amp;'Por dia'!$S$5)</f>
        <v>0</v>
      </c>
      <c r="H43" s="14" t="str">
        <f aca="false">IF($E43=0,"",REPT("|",MIN(22,$E43)))</f>
        <v/>
      </c>
    </row>
    <row r="44" customFormat="false" ht="15" hidden="false" customHeight="false" outlineLevel="0" collapsed="false">
      <c r="A44" s="27" t="str">
        <f aca="false">Listas!A8</f>
        <v>Semiárido Norte</v>
      </c>
      <c r="B44" s="28" t="n">
        <f aca="false">COUNTIFS(Ações!$B$6:$B$404,$A44,Ações!$A$6:$A$404,"&gt;="&amp;'Por dia'!$R$5,Ações!$A$6:$A$404,"&lt;="&amp;'Por dia'!$S$5)</f>
        <v>0</v>
      </c>
      <c r="C44" s="28" t="n">
        <f aca="false">COUNTIFS(Ações!$B$6:$B$404,$A44,Ações!$A$6:$A$404,"&gt;="&amp;'Por dia'!$R$5,Ações!$A$6:$A$404,"&lt;="&amp;'Por dia'!$S$5,Ações!$K$6:$K$404,"Em produção")</f>
        <v>0</v>
      </c>
      <c r="D44" s="28" t="n">
        <f aca="false">COUNTIFS(Ações!$B$6:$B$404,$A44,Ações!$A$6:$A$404,"&gt;="&amp;'Por dia'!$R$5,Ações!$A$6:$A$404,"&lt;="&amp;'Por dia'!$S$5,Ações!$K$6:$K$404,"Em aprovação")</f>
        <v>0</v>
      </c>
      <c r="E44" s="28" t="n">
        <f aca="false">COUNTIFS(Ações!$B$6:$B$404,$A44,Ações!$N$6:$N$404,"&gt;="&amp;'Por dia'!$R$5,Ações!$N$6:$N$404,"&lt;="&amp;'Por dia'!$S$5,Ações!$O$6:$O$404,"Sim")</f>
        <v>0</v>
      </c>
      <c r="F44" s="28" t="n">
        <f aca="false">COUNTIFS(Ações!$B$6:$B$404,$A44,Ações!$A$6:$A$404,"&gt;="&amp;'Por dia'!$R$5,Ações!$A$6:$A$404,"&lt;="&amp;'Por dia'!$S$5,Ações!$P$6:$P$404,"Atrasada")</f>
        <v>0</v>
      </c>
      <c r="G44" s="28" t="n">
        <f aca="false">COUNTIFS(Repercussão!$B$6:$B$304,$A44,Repercussão!$A$6:$A$304,"&gt;="&amp;'Por dia'!$R$5,Repercussão!$A$6:$A$304,"&lt;="&amp;'Por dia'!$S$5)</f>
        <v>0</v>
      </c>
      <c r="H44" s="14" t="str">
        <f aca="false">IF($E44=0,"",REPT("|",MIN(22,$E44)))</f>
        <v/>
      </c>
    </row>
    <row r="45" customFormat="false" ht="15" hidden="false" customHeight="false" outlineLevel="0" collapsed="false">
      <c r="A45" s="27" t="str">
        <f aca="false">Listas!A9</f>
        <v>Semiárido Sul</v>
      </c>
      <c r="B45" s="28" t="n">
        <f aca="false">COUNTIFS(Ações!$B$6:$B$404,$A45,Ações!$A$6:$A$404,"&gt;="&amp;'Por dia'!$R$5,Ações!$A$6:$A$404,"&lt;="&amp;'Por dia'!$S$5)</f>
        <v>0</v>
      </c>
      <c r="C45" s="28" t="n">
        <f aca="false">COUNTIFS(Ações!$B$6:$B$404,$A45,Ações!$A$6:$A$404,"&gt;="&amp;'Por dia'!$R$5,Ações!$A$6:$A$404,"&lt;="&amp;'Por dia'!$S$5,Ações!$K$6:$K$404,"Em produção")</f>
        <v>0</v>
      </c>
      <c r="D45" s="28" t="n">
        <f aca="false">COUNTIFS(Ações!$B$6:$B$404,$A45,Ações!$A$6:$A$404,"&gt;="&amp;'Por dia'!$R$5,Ações!$A$6:$A$404,"&lt;="&amp;'Por dia'!$S$5,Ações!$K$6:$K$404,"Em aprovação")</f>
        <v>0</v>
      </c>
      <c r="E45" s="28" t="n">
        <f aca="false">COUNTIFS(Ações!$B$6:$B$404,$A45,Ações!$N$6:$N$404,"&gt;="&amp;'Por dia'!$R$5,Ações!$N$6:$N$404,"&lt;="&amp;'Por dia'!$S$5,Ações!$O$6:$O$404,"Sim")</f>
        <v>0</v>
      </c>
      <c r="F45" s="28" t="n">
        <f aca="false">COUNTIFS(Ações!$B$6:$B$404,$A45,Ações!$A$6:$A$404,"&gt;="&amp;'Por dia'!$R$5,Ações!$A$6:$A$404,"&lt;="&amp;'Por dia'!$S$5,Ações!$P$6:$P$404,"Atrasada")</f>
        <v>0</v>
      </c>
      <c r="G45" s="28" t="n">
        <f aca="false">COUNTIFS(Repercussão!$B$6:$B$304,$A45,Repercussão!$A$6:$A$304,"&gt;="&amp;'Por dia'!$R$5,Repercussão!$A$6:$A$304,"&lt;="&amp;'Por dia'!$S$5)</f>
        <v>0</v>
      </c>
      <c r="H45" s="14" t="str">
        <f aca="false">IF($E45=0,"",REPT("|",MIN(22,$E45)))</f>
        <v/>
      </c>
    </row>
    <row r="46" customFormat="false" ht="15" hidden="false" customHeight="false" outlineLevel="0" collapsed="false">
      <c r="A46" s="27" t="str">
        <f aca="false">Listas!A10</f>
        <v>Águas de Teresina</v>
      </c>
      <c r="B46" s="28" t="n">
        <f aca="false">COUNTIFS(Ações!$B$6:$B$404,$A46,Ações!$A$6:$A$404,"&gt;="&amp;'Por dia'!$R$5,Ações!$A$6:$A$404,"&lt;="&amp;'Por dia'!$S$5)</f>
        <v>0</v>
      </c>
      <c r="C46" s="28" t="n">
        <f aca="false">COUNTIFS(Ações!$B$6:$B$404,$A46,Ações!$A$6:$A$404,"&gt;="&amp;'Por dia'!$R$5,Ações!$A$6:$A$404,"&lt;="&amp;'Por dia'!$S$5,Ações!$K$6:$K$404,"Em produção")</f>
        <v>0</v>
      </c>
      <c r="D46" s="28" t="n">
        <f aca="false">COUNTIFS(Ações!$B$6:$B$404,$A46,Ações!$A$6:$A$404,"&gt;="&amp;'Por dia'!$R$5,Ações!$A$6:$A$404,"&lt;="&amp;'Por dia'!$S$5,Ações!$K$6:$K$404,"Em aprovação")</f>
        <v>0</v>
      </c>
      <c r="E46" s="28" t="n">
        <f aca="false">COUNTIFS(Ações!$B$6:$B$404,$A46,Ações!$N$6:$N$404,"&gt;="&amp;'Por dia'!$R$5,Ações!$N$6:$N$404,"&lt;="&amp;'Por dia'!$S$5,Ações!$O$6:$O$404,"Sim")</f>
        <v>0</v>
      </c>
      <c r="F46" s="28" t="n">
        <f aca="false">COUNTIFS(Ações!$B$6:$B$404,$A46,Ações!$A$6:$A$404,"&gt;="&amp;'Por dia'!$R$5,Ações!$A$6:$A$404,"&lt;="&amp;'Por dia'!$S$5,Ações!$P$6:$P$404,"Atrasada")</f>
        <v>0</v>
      </c>
      <c r="G46" s="28" t="n">
        <f aca="false">COUNTIFS(Repercussão!$B$6:$B$304,$A46,Repercussão!$A$6:$A$304,"&gt;="&amp;'Por dia'!$R$5,Repercussão!$A$6:$A$304,"&lt;="&amp;'Por dia'!$S$5)</f>
        <v>0</v>
      </c>
      <c r="H46" s="14" t="str">
        <f aca="false">IF($E46=0,"",REPT("|",MIN(22,$E46)))</f>
        <v/>
      </c>
    </row>
    <row r="47" customFormat="false" ht="15" hidden="false" customHeight="false" outlineLevel="0" collapsed="false">
      <c r="A47" s="14" t="s">
        <v>41</v>
      </c>
      <c r="B47" s="29" t="n">
        <f aca="false">SUM(B41:B46)</f>
        <v>0</v>
      </c>
      <c r="C47" s="29" t="n">
        <f aca="false">SUM(C41:C46)</f>
        <v>0</v>
      </c>
      <c r="D47" s="29" t="n">
        <f aca="false">SUM(D41:D46)</f>
        <v>0</v>
      </c>
      <c r="E47" s="29" t="n">
        <f aca="false">SUM(E41:E46)</f>
        <v>0</v>
      </c>
      <c r="F47" s="29" t="n">
        <f aca="false">SUM(F41:F46)</f>
        <v>0</v>
      </c>
      <c r="G47" s="29" t="n">
        <f aca="false">SUM(G41:G46)</f>
        <v>0</v>
      </c>
    </row>
    <row r="49" customFormat="false" ht="15" hidden="false" customHeight="false" outlineLevel="0" collapsed="false">
      <c r="A49" s="15" t="s">
        <v>42</v>
      </c>
    </row>
    <row r="50" customFormat="false" ht="30" hidden="false" customHeight="true" outlineLevel="0" collapsed="false">
      <c r="A50" s="26" t="s">
        <v>43</v>
      </c>
      <c r="B50" s="26" t="s">
        <v>19</v>
      </c>
      <c r="C50" s="26" t="s">
        <v>37</v>
      </c>
      <c r="D50" s="26" t="s">
        <v>22</v>
      </c>
      <c r="E50" s="26" t="s">
        <v>23</v>
      </c>
      <c r="F50" s="26" t="s">
        <v>25</v>
      </c>
      <c r="G50" s="26" t="s">
        <v>39</v>
      </c>
      <c r="H50" s="26" t="s">
        <v>40</v>
      </c>
    </row>
    <row r="51" customFormat="false" ht="15" hidden="false" customHeight="false" outlineLevel="0" collapsed="false">
      <c r="A51" s="27" t="str">
        <f aca="false">Listas!B5</f>
        <v>Luiz Fernando de Sousa Gonzaga</v>
      </c>
      <c r="B51" s="28" t="n">
        <f aca="false">COUNTIFS(Ações!$C$6:$C$404,$A51,Ações!$A$6:$A$404,"&gt;="&amp;'Por dia'!$R$5,Ações!$A$6:$A$404,"&lt;="&amp;'Por dia'!$S$5)</f>
        <v>0</v>
      </c>
      <c r="C51" s="28" t="n">
        <f aca="false">COUNTIFS(Ações!$C$6:$C$404,$A51,Ações!$A$6:$A$404,"&gt;="&amp;'Por dia'!$R$5,Ações!$A$6:$A$404,"&lt;="&amp;'Por dia'!$S$5,Ações!$K$6:$K$404,"Em produção")</f>
        <v>0</v>
      </c>
      <c r="D51" s="28" t="n">
        <f aca="false">COUNTIFS(Ações!$C$6:$C$404,$A51,Ações!$N$6:$N$404,"&gt;="&amp;'Por dia'!$R$5,Ações!$N$6:$N$404,"&lt;="&amp;'Por dia'!$S$5,Ações!$O$6:$O$404,"Sim")</f>
        <v>0</v>
      </c>
      <c r="E51" s="28" t="n">
        <f aca="false">COUNTIFS(Ações!$C$6:$C$404,$A51,Ações!$A$6:$A$404,"&gt;="&amp;'Por dia'!$R$5,Ações!$A$6:$A$404,"&lt;="&amp;'Por dia'!$S$5,Ações!$P$6:$P$404,"Atrasada")</f>
        <v>0</v>
      </c>
      <c r="F51" s="28" t="n">
        <f aca="false">COUNTIFS(Ações!$C$6:$C$404,$A51,Ações!$A$6:$A$404,"&gt;="&amp;'Por dia'!$R$5,Ações!$A$6:$A$404,"&lt;="&amp;'Por dia'!$S$5,Ações!$Q$6:$Q$404,"OK")</f>
        <v>0</v>
      </c>
      <c r="G51" s="28" t="n">
        <f aca="false">COUNTIFS(Repercussão!$K$6:$K$304,$A51,Repercussão!$A$6:$A$304,"&gt;="&amp;'Por dia'!$R$5,Repercussão!$A$6:$A$304,"&lt;="&amp;'Por dia'!$S$5)</f>
        <v>0</v>
      </c>
      <c r="H51" s="14" t="str">
        <f aca="false">IF($D51=0,"",REPT("|",MIN(22,$D51)))</f>
        <v/>
      </c>
    </row>
    <row r="52" customFormat="false" ht="15" hidden="false" customHeight="false" outlineLevel="0" collapsed="false">
      <c r="A52" s="27" t="str">
        <f aca="false">Listas!B6</f>
        <v>Bruno (SA Propaganda)</v>
      </c>
      <c r="B52" s="28" t="n">
        <f aca="false">COUNTIFS(Ações!$C$6:$C$404,$A52,Ações!$A$6:$A$404,"&gt;="&amp;'Por dia'!$R$5,Ações!$A$6:$A$404,"&lt;="&amp;'Por dia'!$S$5)</f>
        <v>0</v>
      </c>
      <c r="C52" s="28" t="n">
        <f aca="false">COUNTIFS(Ações!$C$6:$C$404,$A52,Ações!$A$6:$A$404,"&gt;="&amp;'Por dia'!$R$5,Ações!$A$6:$A$404,"&lt;="&amp;'Por dia'!$S$5,Ações!$K$6:$K$404,"Em produção")</f>
        <v>0</v>
      </c>
      <c r="D52" s="28" t="n">
        <f aca="false">COUNTIFS(Ações!$C$6:$C$404,$A52,Ações!$N$6:$N$404,"&gt;="&amp;'Por dia'!$R$5,Ações!$N$6:$N$404,"&lt;="&amp;'Por dia'!$S$5,Ações!$O$6:$O$404,"Sim")</f>
        <v>0</v>
      </c>
      <c r="E52" s="28" t="n">
        <f aca="false">COUNTIFS(Ações!$C$6:$C$404,$A52,Ações!$A$6:$A$404,"&gt;="&amp;'Por dia'!$R$5,Ações!$A$6:$A$404,"&lt;="&amp;'Por dia'!$S$5,Ações!$P$6:$P$404,"Atrasada")</f>
        <v>0</v>
      </c>
      <c r="F52" s="28" t="n">
        <f aca="false">COUNTIFS(Ações!$C$6:$C$404,$A52,Ações!$A$6:$A$404,"&gt;="&amp;'Por dia'!$R$5,Ações!$A$6:$A$404,"&lt;="&amp;'Por dia'!$S$5,Ações!$Q$6:$Q$404,"OK")</f>
        <v>0</v>
      </c>
      <c r="G52" s="28" t="n">
        <f aca="false">COUNTIFS(Repercussão!$K$6:$K$304,$A52,Repercussão!$A$6:$A$304,"&gt;="&amp;'Por dia'!$R$5,Repercussão!$A$6:$A$304,"&lt;="&amp;'Por dia'!$S$5)</f>
        <v>0</v>
      </c>
      <c r="H52" s="14" t="str">
        <f aca="false">IF($D52=0,"",REPT("|",MIN(22,$D52)))</f>
        <v/>
      </c>
    </row>
    <row r="53" customFormat="false" ht="15" hidden="false" customHeight="false" outlineLevel="0" collapsed="false">
      <c r="A53" s="27" t="str">
        <f aca="false">Listas!B7</f>
        <v>Daniel Saturnino (Ícone)</v>
      </c>
      <c r="B53" s="28" t="n">
        <f aca="false">COUNTIFS(Ações!$C$6:$C$404,$A53,Ações!$A$6:$A$404,"&gt;="&amp;'Por dia'!$R$5,Ações!$A$6:$A$404,"&lt;="&amp;'Por dia'!$S$5)</f>
        <v>0</v>
      </c>
      <c r="C53" s="28" t="n">
        <f aca="false">COUNTIFS(Ações!$C$6:$C$404,$A53,Ações!$A$6:$A$404,"&gt;="&amp;'Por dia'!$R$5,Ações!$A$6:$A$404,"&lt;="&amp;'Por dia'!$S$5,Ações!$K$6:$K$404,"Em produção")</f>
        <v>0</v>
      </c>
      <c r="D53" s="28" t="n">
        <f aca="false">COUNTIFS(Ações!$C$6:$C$404,$A53,Ações!$N$6:$N$404,"&gt;="&amp;'Por dia'!$R$5,Ações!$N$6:$N$404,"&lt;="&amp;'Por dia'!$S$5,Ações!$O$6:$O$404,"Sim")</f>
        <v>0</v>
      </c>
      <c r="E53" s="28" t="n">
        <f aca="false">COUNTIFS(Ações!$C$6:$C$404,$A53,Ações!$A$6:$A$404,"&gt;="&amp;'Por dia'!$R$5,Ações!$A$6:$A$404,"&lt;="&amp;'Por dia'!$S$5,Ações!$P$6:$P$404,"Atrasada")</f>
        <v>0</v>
      </c>
      <c r="F53" s="28" t="n">
        <f aca="false">COUNTIFS(Ações!$C$6:$C$404,$A53,Ações!$A$6:$A$404,"&gt;="&amp;'Por dia'!$R$5,Ações!$A$6:$A$404,"&lt;="&amp;'Por dia'!$S$5,Ações!$Q$6:$Q$404,"OK")</f>
        <v>0</v>
      </c>
      <c r="G53" s="28" t="n">
        <f aca="false">COUNTIFS(Repercussão!$K$6:$K$304,$A53,Repercussão!$A$6:$A$304,"&gt;="&amp;'Por dia'!$R$5,Repercussão!$A$6:$A$304,"&lt;="&amp;'Por dia'!$S$5)</f>
        <v>0</v>
      </c>
      <c r="H53" s="14" t="str">
        <f aca="false">IF($D53=0,"",REPT("|",MIN(22,$D53)))</f>
        <v/>
      </c>
    </row>
    <row r="54" customFormat="false" ht="15" hidden="false" customHeight="false" outlineLevel="0" collapsed="false">
      <c r="A54" s="27" t="str">
        <f aca="false">Listas!B8</f>
        <v>Ana Isabel Monteiro de Sousa</v>
      </c>
      <c r="B54" s="28" t="n">
        <f aca="false">COUNTIFS(Ações!$C$6:$C$404,$A54,Ações!$A$6:$A$404,"&gt;="&amp;'Por dia'!$R$5,Ações!$A$6:$A$404,"&lt;="&amp;'Por dia'!$S$5)</f>
        <v>0</v>
      </c>
      <c r="C54" s="28" t="n">
        <f aca="false">COUNTIFS(Ações!$C$6:$C$404,$A54,Ações!$A$6:$A$404,"&gt;="&amp;'Por dia'!$R$5,Ações!$A$6:$A$404,"&lt;="&amp;'Por dia'!$S$5,Ações!$K$6:$K$404,"Em produção")</f>
        <v>0</v>
      </c>
      <c r="D54" s="28" t="n">
        <f aca="false">COUNTIFS(Ações!$C$6:$C$404,$A54,Ações!$N$6:$N$404,"&gt;="&amp;'Por dia'!$R$5,Ações!$N$6:$N$404,"&lt;="&amp;'Por dia'!$S$5,Ações!$O$6:$O$404,"Sim")</f>
        <v>0</v>
      </c>
      <c r="E54" s="28" t="n">
        <f aca="false">COUNTIFS(Ações!$C$6:$C$404,$A54,Ações!$A$6:$A$404,"&gt;="&amp;'Por dia'!$R$5,Ações!$A$6:$A$404,"&lt;="&amp;'Por dia'!$S$5,Ações!$P$6:$P$404,"Atrasada")</f>
        <v>0</v>
      </c>
      <c r="F54" s="28" t="n">
        <f aca="false">COUNTIFS(Ações!$C$6:$C$404,$A54,Ações!$A$6:$A$404,"&gt;="&amp;'Por dia'!$R$5,Ações!$A$6:$A$404,"&lt;="&amp;'Por dia'!$S$5,Ações!$Q$6:$Q$404,"OK")</f>
        <v>0</v>
      </c>
      <c r="G54" s="28" t="n">
        <f aca="false">COUNTIFS(Repercussão!$K$6:$K$304,$A54,Repercussão!$A$6:$A$304,"&gt;="&amp;'Por dia'!$R$5,Repercussão!$A$6:$A$304,"&lt;="&amp;'Por dia'!$S$5)</f>
        <v>0</v>
      </c>
      <c r="H54" s="14" t="str">
        <f aca="false">IF($D54=0,"",REPT("|",MIN(22,$D54)))</f>
        <v/>
      </c>
    </row>
    <row r="55" customFormat="false" ht="15" hidden="false" customHeight="false" outlineLevel="0" collapsed="false">
      <c r="A55" s="27" t="str">
        <f aca="false">Listas!B9</f>
        <v>Ivana Machado Vasconcelos</v>
      </c>
      <c r="B55" s="28" t="n">
        <f aca="false">COUNTIFS(Ações!$C$6:$C$404,$A55,Ações!$A$6:$A$404,"&gt;="&amp;'Por dia'!$R$5,Ações!$A$6:$A$404,"&lt;="&amp;'Por dia'!$S$5)</f>
        <v>0</v>
      </c>
      <c r="C55" s="28" t="n">
        <f aca="false">COUNTIFS(Ações!$C$6:$C$404,$A55,Ações!$A$6:$A$404,"&gt;="&amp;'Por dia'!$R$5,Ações!$A$6:$A$404,"&lt;="&amp;'Por dia'!$S$5,Ações!$K$6:$K$404,"Em produção")</f>
        <v>0</v>
      </c>
      <c r="D55" s="28" t="n">
        <f aca="false">COUNTIFS(Ações!$C$6:$C$404,$A55,Ações!$N$6:$N$404,"&gt;="&amp;'Por dia'!$R$5,Ações!$N$6:$N$404,"&lt;="&amp;'Por dia'!$S$5,Ações!$O$6:$O$404,"Sim")</f>
        <v>0</v>
      </c>
      <c r="E55" s="28" t="n">
        <f aca="false">COUNTIFS(Ações!$C$6:$C$404,$A55,Ações!$A$6:$A$404,"&gt;="&amp;'Por dia'!$R$5,Ações!$A$6:$A$404,"&lt;="&amp;'Por dia'!$S$5,Ações!$P$6:$P$404,"Atrasada")</f>
        <v>0</v>
      </c>
      <c r="F55" s="28" t="n">
        <f aca="false">COUNTIFS(Ações!$C$6:$C$404,$A55,Ações!$A$6:$A$404,"&gt;="&amp;'Por dia'!$R$5,Ações!$A$6:$A$404,"&lt;="&amp;'Por dia'!$S$5,Ações!$Q$6:$Q$404,"OK")</f>
        <v>0</v>
      </c>
      <c r="G55" s="28" t="n">
        <f aca="false">COUNTIFS(Repercussão!$K$6:$K$304,$A55,Repercussão!$A$6:$A$304,"&gt;="&amp;'Por dia'!$R$5,Repercussão!$A$6:$A$304,"&lt;="&amp;'Por dia'!$S$5)</f>
        <v>0</v>
      </c>
      <c r="H55" s="14" t="str">
        <f aca="false">IF($D55=0,"",REPT("|",MIN(22,$D55)))</f>
        <v/>
      </c>
    </row>
    <row r="56" customFormat="false" ht="15" hidden="false" customHeight="false" outlineLevel="0" collapsed="false">
      <c r="A56" s="27" t="str">
        <f aca="false">Listas!B10</f>
        <v>Phillipe Xadai (Conecta Piauí)</v>
      </c>
      <c r="B56" s="28" t="n">
        <f aca="false">COUNTIFS(Ações!$C$6:$C$404,$A56,Ações!$A$6:$A$404,"&gt;="&amp;'Por dia'!$R$5,Ações!$A$6:$A$404,"&lt;="&amp;'Por dia'!$S$5)</f>
        <v>0</v>
      </c>
      <c r="C56" s="28" t="n">
        <f aca="false">COUNTIFS(Ações!$C$6:$C$404,$A56,Ações!$A$6:$A$404,"&gt;="&amp;'Por dia'!$R$5,Ações!$A$6:$A$404,"&lt;="&amp;'Por dia'!$S$5,Ações!$K$6:$K$404,"Em produção")</f>
        <v>0</v>
      </c>
      <c r="D56" s="28" t="n">
        <f aca="false">COUNTIFS(Ações!$C$6:$C$404,$A56,Ações!$N$6:$N$404,"&gt;="&amp;'Por dia'!$R$5,Ações!$N$6:$N$404,"&lt;="&amp;'Por dia'!$S$5,Ações!$O$6:$O$404,"Sim")</f>
        <v>0</v>
      </c>
      <c r="E56" s="28" t="n">
        <f aca="false">COUNTIFS(Ações!$C$6:$C$404,$A56,Ações!$A$6:$A$404,"&gt;="&amp;'Por dia'!$R$5,Ações!$A$6:$A$404,"&lt;="&amp;'Por dia'!$S$5,Ações!$P$6:$P$404,"Atrasada")</f>
        <v>0</v>
      </c>
      <c r="F56" s="28" t="n">
        <f aca="false">COUNTIFS(Ações!$C$6:$C$404,$A56,Ações!$A$6:$A$404,"&gt;="&amp;'Por dia'!$R$5,Ações!$A$6:$A$404,"&lt;="&amp;'Por dia'!$S$5,Ações!$Q$6:$Q$404,"OK")</f>
        <v>0</v>
      </c>
      <c r="G56" s="28" t="n">
        <f aca="false">COUNTIFS(Repercussão!$K$6:$K$304,$A56,Repercussão!$A$6:$A$304,"&gt;="&amp;'Por dia'!$R$5,Repercussão!$A$6:$A$304,"&lt;="&amp;'Por dia'!$S$5)</f>
        <v>0</v>
      </c>
      <c r="H56" s="14" t="str">
        <f aca="false">IF($D56=0,"",REPT("|",MIN(22,$D56)))</f>
        <v/>
      </c>
    </row>
    <row r="57" customFormat="false" ht="15" hidden="false" customHeight="false" outlineLevel="0" collapsed="false">
      <c r="A57" s="27" t="str">
        <f aca="false">Listas!B11</f>
        <v>Maria Andreia Monteiro de Sousa</v>
      </c>
      <c r="B57" s="28" t="n">
        <f aca="false">COUNTIFS(Ações!$C$6:$C$404,$A57,Ações!$A$6:$A$404,"&gt;="&amp;'Por dia'!$R$5,Ações!$A$6:$A$404,"&lt;="&amp;'Por dia'!$S$5)</f>
        <v>0</v>
      </c>
      <c r="C57" s="28" t="n">
        <f aca="false">COUNTIFS(Ações!$C$6:$C$404,$A57,Ações!$A$6:$A$404,"&gt;="&amp;'Por dia'!$R$5,Ações!$A$6:$A$404,"&lt;="&amp;'Por dia'!$S$5,Ações!$K$6:$K$404,"Em produção")</f>
        <v>0</v>
      </c>
      <c r="D57" s="28" t="n">
        <f aca="false">COUNTIFS(Ações!$C$6:$C$404,$A57,Ações!$N$6:$N$404,"&gt;="&amp;'Por dia'!$R$5,Ações!$N$6:$N$404,"&lt;="&amp;'Por dia'!$S$5,Ações!$O$6:$O$404,"Sim")</f>
        <v>0</v>
      </c>
      <c r="E57" s="28" t="n">
        <f aca="false">COUNTIFS(Ações!$C$6:$C$404,$A57,Ações!$A$6:$A$404,"&gt;="&amp;'Por dia'!$R$5,Ações!$A$6:$A$404,"&lt;="&amp;'Por dia'!$S$5,Ações!$P$6:$P$404,"Atrasada")</f>
        <v>0</v>
      </c>
      <c r="F57" s="28" t="n">
        <f aca="false">COUNTIFS(Ações!$C$6:$C$404,$A57,Ações!$A$6:$A$404,"&gt;="&amp;'Por dia'!$R$5,Ações!$A$6:$A$404,"&lt;="&amp;'Por dia'!$S$5,Ações!$Q$6:$Q$404,"OK")</f>
        <v>0</v>
      </c>
      <c r="G57" s="28" t="n">
        <f aca="false">COUNTIFS(Repercussão!$K$6:$K$304,$A57,Repercussão!$A$6:$A$304,"&gt;="&amp;'Por dia'!$R$5,Repercussão!$A$6:$A$304,"&lt;="&amp;'Por dia'!$S$5)</f>
        <v>0</v>
      </c>
      <c r="H57" s="14" t="str">
        <f aca="false">IF($D57=0,"",REPT("|",MIN(22,$D57)))</f>
        <v/>
      </c>
    </row>
    <row r="58" customFormat="false" ht="15" hidden="false" customHeight="false" outlineLevel="0" collapsed="false">
      <c r="A58" s="27" t="str">
        <f aca="false">Listas!B12</f>
        <v>Fernanda Messias de Carvalho</v>
      </c>
      <c r="B58" s="28" t="n">
        <f aca="false">COUNTIFS(Ações!$C$6:$C$404,$A58,Ações!$A$6:$A$404,"&gt;="&amp;'Por dia'!$R$5,Ações!$A$6:$A$404,"&lt;="&amp;'Por dia'!$S$5)</f>
        <v>0</v>
      </c>
      <c r="C58" s="28" t="n">
        <f aca="false">COUNTIFS(Ações!$C$6:$C$404,$A58,Ações!$A$6:$A$404,"&gt;="&amp;'Por dia'!$R$5,Ações!$A$6:$A$404,"&lt;="&amp;'Por dia'!$S$5,Ações!$K$6:$K$404,"Em produção")</f>
        <v>0</v>
      </c>
      <c r="D58" s="28" t="n">
        <f aca="false">COUNTIFS(Ações!$C$6:$C$404,$A58,Ações!$N$6:$N$404,"&gt;="&amp;'Por dia'!$R$5,Ações!$N$6:$N$404,"&lt;="&amp;'Por dia'!$S$5,Ações!$O$6:$O$404,"Sim")</f>
        <v>0</v>
      </c>
      <c r="E58" s="28" t="n">
        <f aca="false">COUNTIFS(Ações!$C$6:$C$404,$A58,Ações!$A$6:$A$404,"&gt;="&amp;'Por dia'!$R$5,Ações!$A$6:$A$404,"&lt;="&amp;'Por dia'!$S$5,Ações!$P$6:$P$404,"Atrasada")</f>
        <v>0</v>
      </c>
      <c r="F58" s="28" t="n">
        <f aca="false">COUNTIFS(Ações!$C$6:$C$404,$A58,Ações!$A$6:$A$404,"&gt;="&amp;'Por dia'!$R$5,Ações!$A$6:$A$404,"&lt;="&amp;'Por dia'!$S$5,Ações!$Q$6:$Q$404,"OK")</f>
        <v>0</v>
      </c>
      <c r="G58" s="28" t="n">
        <f aca="false">COUNTIFS(Repercussão!$K$6:$K$304,$A58,Repercussão!$A$6:$A$304,"&gt;="&amp;'Por dia'!$R$5,Repercussão!$A$6:$A$304,"&lt;="&amp;'Por dia'!$S$5)</f>
        <v>0</v>
      </c>
      <c r="H58" s="14" t="str">
        <f aca="false">IF($D58=0,"",REPT("|",MIN(22,$D58)))</f>
        <v/>
      </c>
    </row>
    <row r="59" customFormat="false" ht="15" hidden="false" customHeight="false" outlineLevel="0" collapsed="false">
      <c r="A59" s="27" t="str">
        <f aca="false">Listas!B13</f>
        <v>Leonardo Costa (Conecta Piauí)</v>
      </c>
      <c r="B59" s="28" t="n">
        <f aca="false">COUNTIFS(Ações!$C$6:$C$404,$A59,Ações!$A$6:$A$404,"&gt;="&amp;'Por dia'!$R$5,Ações!$A$6:$A$404,"&lt;="&amp;'Por dia'!$S$5)</f>
        <v>0</v>
      </c>
      <c r="C59" s="28" t="n">
        <f aca="false">COUNTIFS(Ações!$C$6:$C$404,$A59,Ações!$A$6:$A$404,"&gt;="&amp;'Por dia'!$R$5,Ações!$A$6:$A$404,"&lt;="&amp;'Por dia'!$S$5,Ações!$K$6:$K$404,"Em produção")</f>
        <v>0</v>
      </c>
      <c r="D59" s="28" t="n">
        <f aca="false">COUNTIFS(Ações!$C$6:$C$404,$A59,Ações!$N$6:$N$404,"&gt;="&amp;'Por dia'!$R$5,Ações!$N$6:$N$404,"&lt;="&amp;'Por dia'!$S$5,Ações!$O$6:$O$404,"Sim")</f>
        <v>0</v>
      </c>
      <c r="E59" s="28" t="n">
        <f aca="false">COUNTIFS(Ações!$C$6:$C$404,$A59,Ações!$A$6:$A$404,"&gt;="&amp;'Por dia'!$R$5,Ações!$A$6:$A$404,"&lt;="&amp;'Por dia'!$S$5,Ações!$P$6:$P$404,"Atrasada")</f>
        <v>0</v>
      </c>
      <c r="F59" s="28" t="n">
        <f aca="false">COUNTIFS(Ações!$C$6:$C$404,$A59,Ações!$A$6:$A$404,"&gt;="&amp;'Por dia'!$R$5,Ações!$A$6:$A$404,"&lt;="&amp;'Por dia'!$S$5,Ações!$Q$6:$Q$404,"OK")</f>
        <v>0</v>
      </c>
      <c r="G59" s="28" t="n">
        <f aca="false">COUNTIFS(Repercussão!$K$6:$K$304,$A59,Repercussão!$A$6:$A$304,"&gt;="&amp;'Por dia'!$R$5,Repercussão!$A$6:$A$304,"&lt;="&amp;'Por dia'!$S$5)</f>
        <v>0</v>
      </c>
      <c r="H59" s="14" t="str">
        <f aca="false">IF($D59=0,"",REPT("|",MIN(22,$D59)))</f>
        <v/>
      </c>
    </row>
    <row r="60" customFormat="false" ht="15" hidden="false" customHeight="false" outlineLevel="0" collapsed="false">
      <c r="A60" s="27" t="str">
        <f aca="false">Listas!B14</f>
        <v>Marta Soares Lima</v>
      </c>
      <c r="B60" s="28" t="n">
        <f aca="false">COUNTIFS(Ações!$C$6:$C$404,$A60,Ações!$A$6:$A$404,"&gt;="&amp;'Por dia'!$R$5,Ações!$A$6:$A$404,"&lt;="&amp;'Por dia'!$S$5)</f>
        <v>0</v>
      </c>
      <c r="C60" s="28" t="n">
        <f aca="false">COUNTIFS(Ações!$C$6:$C$404,$A60,Ações!$A$6:$A$404,"&gt;="&amp;'Por dia'!$R$5,Ações!$A$6:$A$404,"&lt;="&amp;'Por dia'!$S$5,Ações!$K$6:$K$404,"Em produção")</f>
        <v>0</v>
      </c>
      <c r="D60" s="28" t="n">
        <f aca="false">COUNTIFS(Ações!$C$6:$C$404,$A60,Ações!$N$6:$N$404,"&gt;="&amp;'Por dia'!$R$5,Ações!$N$6:$N$404,"&lt;="&amp;'Por dia'!$S$5,Ações!$O$6:$O$404,"Sim")</f>
        <v>0</v>
      </c>
      <c r="E60" s="28" t="n">
        <f aca="false">COUNTIFS(Ações!$C$6:$C$404,$A60,Ações!$A$6:$A$404,"&gt;="&amp;'Por dia'!$R$5,Ações!$A$6:$A$404,"&lt;="&amp;'Por dia'!$S$5,Ações!$P$6:$P$404,"Atrasada")</f>
        <v>0</v>
      </c>
      <c r="F60" s="28" t="n">
        <f aca="false">COUNTIFS(Ações!$C$6:$C$404,$A60,Ações!$A$6:$A$404,"&gt;="&amp;'Por dia'!$R$5,Ações!$A$6:$A$404,"&lt;="&amp;'Por dia'!$S$5,Ações!$Q$6:$Q$404,"OK")</f>
        <v>0</v>
      </c>
      <c r="G60" s="28" t="n">
        <f aca="false">COUNTIFS(Repercussão!$K$6:$K$304,$A60,Repercussão!$A$6:$A$304,"&gt;="&amp;'Por dia'!$R$5,Repercussão!$A$6:$A$304,"&lt;="&amp;'Por dia'!$S$5)</f>
        <v>0</v>
      </c>
      <c r="H60" s="14" t="str">
        <f aca="false">IF($D60=0,"",REPT("|",MIN(22,$D60)))</f>
        <v/>
      </c>
    </row>
    <row r="61" customFormat="false" ht="15" hidden="false" customHeight="false" outlineLevel="0" collapsed="false">
      <c r="A61" s="27" t="str">
        <f aca="false">Listas!B15</f>
        <v>Thyago Felipe Alves da Costa</v>
      </c>
      <c r="B61" s="28" t="n">
        <f aca="false">COUNTIFS(Ações!$C$6:$C$404,$A61,Ações!$A$6:$A$404,"&gt;="&amp;'Por dia'!$R$5,Ações!$A$6:$A$404,"&lt;="&amp;'Por dia'!$S$5)</f>
        <v>0</v>
      </c>
      <c r="C61" s="28" t="n">
        <f aca="false">COUNTIFS(Ações!$C$6:$C$404,$A61,Ações!$A$6:$A$404,"&gt;="&amp;'Por dia'!$R$5,Ações!$A$6:$A$404,"&lt;="&amp;'Por dia'!$S$5,Ações!$K$6:$K$404,"Em produção")</f>
        <v>0</v>
      </c>
      <c r="D61" s="28" t="n">
        <f aca="false">COUNTIFS(Ações!$C$6:$C$404,$A61,Ações!$N$6:$N$404,"&gt;="&amp;'Por dia'!$R$5,Ações!$N$6:$N$404,"&lt;="&amp;'Por dia'!$S$5,Ações!$O$6:$O$404,"Sim")</f>
        <v>0</v>
      </c>
      <c r="E61" s="28" t="n">
        <f aca="false">COUNTIFS(Ações!$C$6:$C$404,$A61,Ações!$A$6:$A$404,"&gt;="&amp;'Por dia'!$R$5,Ações!$A$6:$A$404,"&lt;="&amp;'Por dia'!$S$5,Ações!$P$6:$P$404,"Atrasada")</f>
        <v>0</v>
      </c>
      <c r="F61" s="28" t="n">
        <f aca="false">COUNTIFS(Ações!$C$6:$C$404,$A61,Ações!$A$6:$A$404,"&gt;="&amp;'Por dia'!$R$5,Ações!$A$6:$A$404,"&lt;="&amp;'Por dia'!$S$5,Ações!$Q$6:$Q$404,"OK")</f>
        <v>0</v>
      </c>
      <c r="G61" s="28" t="n">
        <f aca="false">COUNTIFS(Repercussão!$K$6:$K$304,$A61,Repercussão!$A$6:$A$304,"&gt;="&amp;'Por dia'!$R$5,Repercussão!$A$6:$A$304,"&lt;="&amp;'Por dia'!$S$5)</f>
        <v>0</v>
      </c>
      <c r="H61" s="14" t="str">
        <f aca="false">IF($D61=0,"",REPT("|",MIN(22,$D61)))</f>
        <v/>
      </c>
    </row>
    <row r="62" customFormat="false" ht="15" hidden="false" customHeight="false" outlineLevel="0" collapsed="false">
      <c r="A62" s="27" t="str">
        <f aca="false">Listas!B16</f>
        <v>Beatriz Holanda (Ícone)</v>
      </c>
      <c r="B62" s="28" t="n">
        <f aca="false">COUNTIFS(Ações!$C$6:$C$404,$A62,Ações!$A$6:$A$404,"&gt;="&amp;'Por dia'!$R$5,Ações!$A$6:$A$404,"&lt;="&amp;'Por dia'!$S$5)</f>
        <v>0</v>
      </c>
      <c r="C62" s="28" t="n">
        <f aca="false">COUNTIFS(Ações!$C$6:$C$404,$A62,Ações!$A$6:$A$404,"&gt;="&amp;'Por dia'!$R$5,Ações!$A$6:$A$404,"&lt;="&amp;'Por dia'!$S$5,Ações!$K$6:$K$404,"Em produção")</f>
        <v>0</v>
      </c>
      <c r="D62" s="28" t="n">
        <f aca="false">COUNTIFS(Ações!$C$6:$C$404,$A62,Ações!$N$6:$N$404,"&gt;="&amp;'Por dia'!$R$5,Ações!$N$6:$N$404,"&lt;="&amp;'Por dia'!$S$5,Ações!$O$6:$O$404,"Sim")</f>
        <v>0</v>
      </c>
      <c r="E62" s="28" t="n">
        <f aca="false">COUNTIFS(Ações!$C$6:$C$404,$A62,Ações!$A$6:$A$404,"&gt;="&amp;'Por dia'!$R$5,Ações!$A$6:$A$404,"&lt;="&amp;'Por dia'!$S$5,Ações!$P$6:$P$404,"Atrasada")</f>
        <v>0</v>
      </c>
      <c r="F62" s="28" t="n">
        <f aca="false">COUNTIFS(Ações!$C$6:$C$404,$A62,Ações!$A$6:$A$404,"&gt;="&amp;'Por dia'!$R$5,Ações!$A$6:$A$404,"&lt;="&amp;'Por dia'!$S$5,Ações!$Q$6:$Q$404,"OK")</f>
        <v>0</v>
      </c>
      <c r="G62" s="28" t="n">
        <f aca="false">COUNTIFS(Repercussão!$K$6:$K$304,$A62,Repercussão!$A$6:$A$304,"&gt;="&amp;'Por dia'!$R$5,Repercussão!$A$6:$A$304,"&lt;="&amp;'Por dia'!$S$5)</f>
        <v>0</v>
      </c>
      <c r="H62" s="14" t="str">
        <f aca="false">IF($D62=0,"",REPT("|",MIN(22,$D62)))</f>
        <v/>
      </c>
    </row>
    <row r="63" customFormat="false" ht="15" hidden="false" customHeight="false" outlineLevel="0" collapsed="false">
      <c r="A63" s="27" t="str">
        <f aca="false">Listas!B17</f>
        <v>Marcio Messias dos Santos</v>
      </c>
      <c r="B63" s="28" t="n">
        <f aca="false">COUNTIFS(Ações!$C$6:$C$404,$A63,Ações!$A$6:$A$404,"&gt;="&amp;'Por dia'!$R$5,Ações!$A$6:$A$404,"&lt;="&amp;'Por dia'!$S$5)</f>
        <v>0</v>
      </c>
      <c r="C63" s="28" t="n">
        <f aca="false">COUNTIFS(Ações!$C$6:$C$404,$A63,Ações!$A$6:$A$404,"&gt;="&amp;'Por dia'!$R$5,Ações!$A$6:$A$404,"&lt;="&amp;'Por dia'!$S$5,Ações!$K$6:$K$404,"Em produção")</f>
        <v>0</v>
      </c>
      <c r="D63" s="28" t="n">
        <f aca="false">COUNTIFS(Ações!$C$6:$C$404,$A63,Ações!$N$6:$N$404,"&gt;="&amp;'Por dia'!$R$5,Ações!$N$6:$N$404,"&lt;="&amp;'Por dia'!$S$5,Ações!$O$6:$O$404,"Sim")</f>
        <v>0</v>
      </c>
      <c r="E63" s="28" t="n">
        <f aca="false">COUNTIFS(Ações!$C$6:$C$404,$A63,Ações!$A$6:$A$404,"&gt;="&amp;'Por dia'!$R$5,Ações!$A$6:$A$404,"&lt;="&amp;'Por dia'!$S$5,Ações!$P$6:$P$404,"Atrasada")</f>
        <v>0</v>
      </c>
      <c r="F63" s="28" t="n">
        <f aca="false">COUNTIFS(Ações!$C$6:$C$404,$A63,Ações!$A$6:$A$404,"&gt;="&amp;'Por dia'!$R$5,Ações!$A$6:$A$404,"&lt;="&amp;'Por dia'!$S$5,Ações!$Q$6:$Q$404,"OK")</f>
        <v>0</v>
      </c>
      <c r="G63" s="28" t="n">
        <f aca="false">COUNTIFS(Repercussão!$K$6:$K$304,$A63,Repercussão!$A$6:$A$304,"&gt;="&amp;'Por dia'!$R$5,Repercussão!$A$6:$A$304,"&lt;="&amp;'Por dia'!$S$5)</f>
        <v>0</v>
      </c>
      <c r="H63" s="14" t="str">
        <f aca="false">IF($D63=0,"",REPT("|",MIN(22,$D63)))</f>
        <v/>
      </c>
    </row>
    <row r="64" customFormat="false" ht="15" hidden="false" customHeight="false" outlineLevel="0" collapsed="false">
      <c r="A64" s="27" t="str">
        <f aca="false">Listas!B18</f>
        <v>Thaynara Rakel Rodrigues Costa</v>
      </c>
      <c r="B64" s="28" t="n">
        <f aca="false">COUNTIFS(Ações!$C$6:$C$404,$A64,Ações!$A$6:$A$404,"&gt;="&amp;'Por dia'!$R$5,Ações!$A$6:$A$404,"&lt;="&amp;'Por dia'!$S$5)</f>
        <v>0</v>
      </c>
      <c r="C64" s="28" t="n">
        <f aca="false">COUNTIFS(Ações!$C$6:$C$404,$A64,Ações!$A$6:$A$404,"&gt;="&amp;'Por dia'!$R$5,Ações!$A$6:$A$404,"&lt;="&amp;'Por dia'!$S$5,Ações!$K$6:$K$404,"Em produção")</f>
        <v>0</v>
      </c>
      <c r="D64" s="28" t="n">
        <f aca="false">COUNTIFS(Ações!$C$6:$C$404,$A64,Ações!$N$6:$N$404,"&gt;="&amp;'Por dia'!$R$5,Ações!$N$6:$N$404,"&lt;="&amp;'Por dia'!$S$5,Ações!$O$6:$O$404,"Sim")</f>
        <v>0</v>
      </c>
      <c r="E64" s="28" t="n">
        <f aca="false">COUNTIFS(Ações!$C$6:$C$404,$A64,Ações!$A$6:$A$404,"&gt;="&amp;'Por dia'!$R$5,Ações!$A$6:$A$404,"&lt;="&amp;'Por dia'!$S$5,Ações!$P$6:$P$404,"Atrasada")</f>
        <v>0</v>
      </c>
      <c r="F64" s="28" t="n">
        <f aca="false">COUNTIFS(Ações!$C$6:$C$404,$A64,Ações!$A$6:$A$404,"&gt;="&amp;'Por dia'!$R$5,Ações!$A$6:$A$404,"&lt;="&amp;'Por dia'!$S$5,Ações!$Q$6:$Q$404,"OK")</f>
        <v>0</v>
      </c>
      <c r="G64" s="28" t="n">
        <f aca="false">COUNTIFS(Repercussão!$K$6:$K$304,$A64,Repercussão!$A$6:$A$304,"&gt;="&amp;'Por dia'!$R$5,Repercussão!$A$6:$A$304,"&lt;="&amp;'Por dia'!$S$5)</f>
        <v>0</v>
      </c>
      <c r="H64" s="14" t="str">
        <f aca="false">IF($D64=0,"",REPT("|",MIN(22,$D64)))</f>
        <v/>
      </c>
    </row>
    <row r="65" customFormat="false" ht="15" hidden="false" customHeight="false" outlineLevel="0" collapsed="false">
      <c r="A65" s="27" t="str">
        <f aca="false">Listas!B19</f>
        <v>Laurel Ferreira (Ícone)</v>
      </c>
      <c r="B65" s="28" t="n">
        <f aca="false">COUNTIFS(Ações!$C$6:$C$404,$A65,Ações!$A$6:$A$404,"&gt;="&amp;'Por dia'!$R$5,Ações!$A$6:$A$404,"&lt;="&amp;'Por dia'!$S$5)</f>
        <v>0</v>
      </c>
      <c r="C65" s="28" t="n">
        <f aca="false">COUNTIFS(Ações!$C$6:$C$404,$A65,Ações!$A$6:$A$404,"&gt;="&amp;'Por dia'!$R$5,Ações!$A$6:$A$404,"&lt;="&amp;'Por dia'!$S$5,Ações!$K$6:$K$404,"Em produção")</f>
        <v>0</v>
      </c>
      <c r="D65" s="28" t="n">
        <f aca="false">COUNTIFS(Ações!$C$6:$C$404,$A65,Ações!$N$6:$N$404,"&gt;="&amp;'Por dia'!$R$5,Ações!$N$6:$N$404,"&lt;="&amp;'Por dia'!$S$5,Ações!$O$6:$O$404,"Sim")</f>
        <v>0</v>
      </c>
      <c r="E65" s="28" t="n">
        <f aca="false">COUNTIFS(Ações!$C$6:$C$404,$A65,Ações!$A$6:$A$404,"&gt;="&amp;'Por dia'!$R$5,Ações!$A$6:$A$404,"&lt;="&amp;'Por dia'!$S$5,Ações!$P$6:$P$404,"Atrasada")</f>
        <v>0</v>
      </c>
      <c r="F65" s="28" t="n">
        <f aca="false">COUNTIFS(Ações!$C$6:$C$404,$A65,Ações!$A$6:$A$404,"&gt;="&amp;'Por dia'!$R$5,Ações!$A$6:$A$404,"&lt;="&amp;'Por dia'!$S$5,Ações!$Q$6:$Q$404,"OK")</f>
        <v>0</v>
      </c>
      <c r="G65" s="28" t="n">
        <f aca="false">COUNTIFS(Repercussão!$K$6:$K$304,$A65,Repercussão!$A$6:$A$304,"&gt;="&amp;'Por dia'!$R$5,Repercussão!$A$6:$A$304,"&lt;="&amp;'Por dia'!$S$5)</f>
        <v>0</v>
      </c>
      <c r="H65" s="14" t="str">
        <f aca="false">IF($D65=0,"",REPT("|",MIN(22,$D65)))</f>
        <v/>
      </c>
    </row>
    <row r="66" customFormat="false" ht="15" hidden="false" customHeight="false" outlineLevel="0" collapsed="false">
      <c r="A66" s="27" t="str">
        <f aca="false">Listas!B20</f>
        <v>Gabriela de Oliveira Santos Carvalho</v>
      </c>
      <c r="B66" s="28" t="n">
        <f aca="false">COUNTIFS(Ações!$C$6:$C$404,$A66,Ações!$A$6:$A$404,"&gt;="&amp;'Por dia'!$R$5,Ações!$A$6:$A$404,"&lt;="&amp;'Por dia'!$S$5)</f>
        <v>0</v>
      </c>
      <c r="C66" s="28" t="n">
        <f aca="false">COUNTIFS(Ações!$C$6:$C$404,$A66,Ações!$A$6:$A$404,"&gt;="&amp;'Por dia'!$R$5,Ações!$A$6:$A$404,"&lt;="&amp;'Por dia'!$S$5,Ações!$K$6:$K$404,"Em produção")</f>
        <v>0</v>
      </c>
      <c r="D66" s="28" t="n">
        <f aca="false">COUNTIFS(Ações!$C$6:$C$404,$A66,Ações!$N$6:$N$404,"&gt;="&amp;'Por dia'!$R$5,Ações!$N$6:$N$404,"&lt;="&amp;'Por dia'!$S$5,Ações!$O$6:$O$404,"Sim")</f>
        <v>0</v>
      </c>
      <c r="E66" s="28" t="n">
        <f aca="false">COUNTIFS(Ações!$C$6:$C$404,$A66,Ações!$A$6:$A$404,"&gt;="&amp;'Por dia'!$R$5,Ações!$A$6:$A$404,"&lt;="&amp;'Por dia'!$S$5,Ações!$P$6:$P$404,"Atrasada")</f>
        <v>0</v>
      </c>
      <c r="F66" s="28" t="n">
        <f aca="false">COUNTIFS(Ações!$C$6:$C$404,$A66,Ações!$A$6:$A$404,"&gt;="&amp;'Por dia'!$R$5,Ações!$A$6:$A$404,"&lt;="&amp;'Por dia'!$S$5,Ações!$Q$6:$Q$404,"OK")</f>
        <v>0</v>
      </c>
      <c r="G66" s="28" t="n">
        <f aca="false">COUNTIFS(Repercussão!$K$6:$K$304,$A66,Repercussão!$A$6:$A$304,"&gt;="&amp;'Por dia'!$R$5,Repercussão!$A$6:$A$304,"&lt;="&amp;'Por dia'!$S$5)</f>
        <v>0</v>
      </c>
      <c r="H66" s="14" t="str">
        <f aca="false">IF($D66=0,"",REPT("|",MIN(22,$D66)))</f>
        <v/>
      </c>
    </row>
    <row r="67" customFormat="false" ht="15" hidden="false" customHeight="false" outlineLevel="0" collapsed="false">
      <c r="A67" s="27" t="str">
        <f aca="false">Listas!B21</f>
        <v>Isaac Haron (Ícone)</v>
      </c>
      <c r="B67" s="28" t="n">
        <f aca="false">COUNTIFS(Ações!$C$6:$C$404,$A67,Ações!$A$6:$A$404,"&gt;="&amp;'Por dia'!$R$5,Ações!$A$6:$A$404,"&lt;="&amp;'Por dia'!$S$5)</f>
        <v>0</v>
      </c>
      <c r="C67" s="28" t="n">
        <f aca="false">COUNTIFS(Ações!$C$6:$C$404,$A67,Ações!$A$6:$A$404,"&gt;="&amp;'Por dia'!$R$5,Ações!$A$6:$A$404,"&lt;="&amp;'Por dia'!$S$5,Ações!$K$6:$K$404,"Em produção")</f>
        <v>0</v>
      </c>
      <c r="D67" s="28" t="n">
        <f aca="false">COUNTIFS(Ações!$C$6:$C$404,$A67,Ações!$N$6:$N$404,"&gt;="&amp;'Por dia'!$R$5,Ações!$N$6:$N$404,"&lt;="&amp;'Por dia'!$S$5,Ações!$O$6:$O$404,"Sim")</f>
        <v>0</v>
      </c>
      <c r="E67" s="28" t="n">
        <f aca="false">COUNTIFS(Ações!$C$6:$C$404,$A67,Ações!$A$6:$A$404,"&gt;="&amp;'Por dia'!$R$5,Ações!$A$6:$A$404,"&lt;="&amp;'Por dia'!$S$5,Ações!$P$6:$P$404,"Atrasada")</f>
        <v>0</v>
      </c>
      <c r="F67" s="28" t="n">
        <f aca="false">COUNTIFS(Ações!$C$6:$C$404,$A67,Ações!$A$6:$A$404,"&gt;="&amp;'Por dia'!$R$5,Ações!$A$6:$A$404,"&lt;="&amp;'Por dia'!$S$5,Ações!$Q$6:$Q$404,"OK")</f>
        <v>0</v>
      </c>
      <c r="G67" s="28" t="n">
        <f aca="false">COUNTIFS(Repercussão!$K$6:$K$304,$A67,Repercussão!$A$6:$A$304,"&gt;="&amp;'Por dia'!$R$5,Repercussão!$A$6:$A$304,"&lt;="&amp;'Por dia'!$S$5)</f>
        <v>0</v>
      </c>
      <c r="H67" s="14" t="str">
        <f aca="false">IF($D67=0,"",REPT("|",MIN(22,$D67)))</f>
        <v/>
      </c>
    </row>
    <row r="68" customFormat="false" ht="15" hidden="false" customHeight="false" outlineLevel="0" collapsed="false">
      <c r="A68" s="27" t="str">
        <f aca="false">Listas!B22</f>
        <v>Virgiane Rodrigues Passos (férias)</v>
      </c>
      <c r="B68" s="28" t="n">
        <f aca="false">COUNTIFS(Ações!$C$6:$C$404,$A68,Ações!$A$6:$A$404,"&gt;="&amp;'Por dia'!$R$5,Ações!$A$6:$A$404,"&lt;="&amp;'Por dia'!$S$5)</f>
        <v>0</v>
      </c>
      <c r="C68" s="28" t="n">
        <f aca="false">COUNTIFS(Ações!$C$6:$C$404,$A68,Ações!$A$6:$A$404,"&gt;="&amp;'Por dia'!$R$5,Ações!$A$6:$A$404,"&lt;="&amp;'Por dia'!$S$5,Ações!$K$6:$K$404,"Em produção")</f>
        <v>0</v>
      </c>
      <c r="D68" s="28" t="n">
        <f aca="false">COUNTIFS(Ações!$C$6:$C$404,$A68,Ações!$N$6:$N$404,"&gt;="&amp;'Por dia'!$R$5,Ações!$N$6:$N$404,"&lt;="&amp;'Por dia'!$S$5,Ações!$O$6:$O$404,"Sim")</f>
        <v>0</v>
      </c>
      <c r="E68" s="28" t="n">
        <f aca="false">COUNTIFS(Ações!$C$6:$C$404,$A68,Ações!$A$6:$A$404,"&gt;="&amp;'Por dia'!$R$5,Ações!$A$6:$A$404,"&lt;="&amp;'Por dia'!$S$5,Ações!$P$6:$P$404,"Atrasada")</f>
        <v>0</v>
      </c>
      <c r="F68" s="28" t="n">
        <f aca="false">COUNTIFS(Ações!$C$6:$C$404,$A68,Ações!$A$6:$A$404,"&gt;="&amp;'Por dia'!$R$5,Ações!$A$6:$A$404,"&lt;="&amp;'Por dia'!$S$5,Ações!$Q$6:$Q$404,"OK")</f>
        <v>0</v>
      </c>
      <c r="G68" s="28" t="n">
        <f aca="false">COUNTIFS(Repercussão!$K$6:$K$304,$A68,Repercussão!$A$6:$A$304,"&gt;="&amp;'Por dia'!$R$5,Repercussão!$A$6:$A$304,"&lt;="&amp;'Por dia'!$S$5)</f>
        <v>0</v>
      </c>
      <c r="H68" s="14" t="str">
        <f aca="false">IF($D68=0,"",REPT("|",MIN(22,$D68)))</f>
        <v/>
      </c>
    </row>
    <row r="69" customFormat="false" ht="15" hidden="false" customHeight="false" outlineLevel="0" collapsed="false">
      <c r="A69" s="14" t="s">
        <v>41</v>
      </c>
      <c r="B69" s="29" t="n">
        <f aca="false">SUM(B51:B68)</f>
        <v>0</v>
      </c>
      <c r="C69" s="29" t="n">
        <f aca="false">SUM(C51:C68)</f>
        <v>0</v>
      </c>
      <c r="D69" s="29" t="n">
        <f aca="false">SUM(D51:D68)</f>
        <v>0</v>
      </c>
      <c r="E69" s="29" t="n">
        <f aca="false">SUM(E51:E68)</f>
        <v>0</v>
      </c>
      <c r="F69" s="29" t="n">
        <f aca="false">SUM(F51:F68)</f>
        <v>0</v>
      </c>
      <c r="G69" s="29" t="n">
        <f aca="false">SUM(G51:G68)</f>
        <v>0</v>
      </c>
    </row>
    <row r="71" customFormat="false" ht="15" hidden="false" customHeight="false" outlineLevel="0" collapsed="false">
      <c r="A71" s="15" t="s">
        <v>44</v>
      </c>
    </row>
    <row r="72" customFormat="false" ht="30" hidden="false" customHeight="true" outlineLevel="0" collapsed="false">
      <c r="A72" s="26" t="s">
        <v>45</v>
      </c>
      <c r="B72" s="26" t="s">
        <v>19</v>
      </c>
      <c r="C72" s="26" t="s">
        <v>22</v>
      </c>
      <c r="D72" s="26" t="s">
        <v>23</v>
      </c>
      <c r="E72" s="26" t="s">
        <v>40</v>
      </c>
    </row>
    <row r="73" customFormat="false" ht="15" hidden="false" customHeight="false" outlineLevel="0" collapsed="false">
      <c r="A73" s="27" t="str">
        <f aca="false">Listas!F5</f>
        <v>Equipe interna</v>
      </c>
      <c r="B73" s="28" t="n">
        <f aca="false">COUNTIFS(Ações!$E$6:$E$404,$A73,Ações!$A$6:$A$404,"&gt;="&amp;'Por dia'!$R$5,Ações!$A$6:$A$404,"&lt;="&amp;'Por dia'!$S$5)</f>
        <v>0</v>
      </c>
      <c r="C73" s="28" t="n">
        <f aca="false">COUNTIFS(Ações!$E$6:$E$404,$A73,Ações!$N$6:$N$404,"&gt;="&amp;'Por dia'!$R$5,Ações!$N$6:$N$404,"&lt;="&amp;'Por dia'!$S$5,Ações!$O$6:$O$404,"Sim")</f>
        <v>0</v>
      </c>
      <c r="D73" s="28" t="n">
        <f aca="false">COUNTIFS(Ações!$E$6:$E$404,$A73,Ações!$A$6:$A$404,"&gt;="&amp;'Por dia'!$R$5,Ações!$A$6:$A$404,"&lt;="&amp;'Por dia'!$S$5,Ações!$P$6:$P$404,"Atrasada")</f>
        <v>0</v>
      </c>
      <c r="E73" s="14" t="str">
        <f aca="false">IF($C73=0,"",REPT("|",MIN(22,$C73)))</f>
        <v/>
      </c>
    </row>
    <row r="74" customFormat="false" ht="15" hidden="false" customHeight="false" outlineLevel="0" collapsed="false">
      <c r="A74" s="27" t="str">
        <f aca="false">Listas!F6</f>
        <v>SA Propaganda</v>
      </c>
      <c r="B74" s="28" t="n">
        <f aca="false">COUNTIFS(Ações!$E$6:$E$404,$A74,Ações!$A$6:$A$404,"&gt;="&amp;'Por dia'!$R$5,Ações!$A$6:$A$404,"&lt;="&amp;'Por dia'!$S$5)</f>
        <v>0</v>
      </c>
      <c r="C74" s="28" t="n">
        <f aca="false">COUNTIFS(Ações!$E$6:$E$404,$A74,Ações!$N$6:$N$404,"&gt;="&amp;'Por dia'!$R$5,Ações!$N$6:$N$404,"&lt;="&amp;'Por dia'!$S$5,Ações!$O$6:$O$404,"Sim")</f>
        <v>0</v>
      </c>
      <c r="D74" s="28" t="n">
        <f aca="false">COUNTIFS(Ações!$E$6:$E$404,$A74,Ações!$A$6:$A$404,"&gt;="&amp;'Por dia'!$R$5,Ações!$A$6:$A$404,"&lt;="&amp;'Por dia'!$S$5,Ações!$P$6:$P$404,"Atrasada")</f>
        <v>0</v>
      </c>
      <c r="E74" s="14" t="str">
        <f aca="false">IF($C74=0,"",REPT("|",MIN(22,$C74)))</f>
        <v/>
      </c>
    </row>
    <row r="75" customFormat="false" ht="15" hidden="false" customHeight="false" outlineLevel="0" collapsed="false">
      <c r="A75" s="27" t="str">
        <f aca="false">Listas!F7</f>
        <v>Conecta Piauí</v>
      </c>
      <c r="B75" s="28" t="n">
        <f aca="false">COUNTIFS(Ações!$E$6:$E$404,$A75,Ações!$A$6:$A$404,"&gt;="&amp;'Por dia'!$R$5,Ações!$A$6:$A$404,"&lt;="&amp;'Por dia'!$S$5)</f>
        <v>0</v>
      </c>
      <c r="C75" s="28" t="n">
        <f aca="false">COUNTIFS(Ações!$E$6:$E$404,$A75,Ações!$N$6:$N$404,"&gt;="&amp;'Por dia'!$R$5,Ações!$N$6:$N$404,"&lt;="&amp;'Por dia'!$S$5,Ações!$O$6:$O$404,"Sim")</f>
        <v>0</v>
      </c>
      <c r="D75" s="28" t="n">
        <f aca="false">COUNTIFS(Ações!$E$6:$E$404,$A75,Ações!$A$6:$A$404,"&gt;="&amp;'Por dia'!$R$5,Ações!$A$6:$A$404,"&lt;="&amp;'Por dia'!$S$5,Ações!$P$6:$P$404,"Atrasada")</f>
        <v>0</v>
      </c>
      <c r="E75" s="14" t="str">
        <f aca="false">IF($C75=0,"",REPT("|",MIN(22,$C75)))</f>
        <v/>
      </c>
    </row>
    <row r="76" customFormat="false" ht="15" hidden="false" customHeight="false" outlineLevel="0" collapsed="false">
      <c r="A76" s="27" t="str">
        <f aca="false">Listas!F8</f>
        <v>Ícone Comunicação</v>
      </c>
      <c r="B76" s="28" t="n">
        <f aca="false">COUNTIFS(Ações!$E$6:$E$404,$A76,Ações!$A$6:$A$404,"&gt;="&amp;'Por dia'!$R$5,Ações!$A$6:$A$404,"&lt;="&amp;'Por dia'!$S$5)</f>
        <v>0</v>
      </c>
      <c r="C76" s="28" t="n">
        <f aca="false">COUNTIFS(Ações!$E$6:$E$404,$A76,Ações!$N$6:$N$404,"&gt;="&amp;'Por dia'!$R$5,Ações!$N$6:$N$404,"&lt;="&amp;'Por dia'!$S$5,Ações!$O$6:$O$404,"Sim")</f>
        <v>0</v>
      </c>
      <c r="D76" s="28" t="n">
        <f aca="false">COUNTIFS(Ações!$E$6:$E$404,$A76,Ações!$A$6:$A$404,"&gt;="&amp;'Por dia'!$R$5,Ações!$A$6:$A$404,"&lt;="&amp;'Por dia'!$S$5,Ações!$P$6:$P$404,"Atrasada")</f>
        <v>0</v>
      </c>
      <c r="E76" s="14" t="str">
        <f aca="false">IF($C76=0,"",REPT("|",MIN(22,$C76)))</f>
        <v/>
      </c>
    </row>
    <row r="77" customFormat="false" ht="15" hidden="false" customHeight="false" outlineLevel="0" collapsed="false">
      <c r="A77" s="27" t="str">
        <f aca="false">Listas!F9</f>
        <v>Produtora local</v>
      </c>
      <c r="B77" s="28" t="n">
        <f aca="false">COUNTIFS(Ações!$E$6:$E$404,$A77,Ações!$A$6:$A$404,"&gt;="&amp;'Por dia'!$R$5,Ações!$A$6:$A$404,"&lt;="&amp;'Por dia'!$S$5)</f>
        <v>0</v>
      </c>
      <c r="C77" s="28" t="n">
        <f aca="false">COUNTIFS(Ações!$E$6:$E$404,$A77,Ações!$N$6:$N$404,"&gt;="&amp;'Por dia'!$R$5,Ações!$N$6:$N$404,"&lt;="&amp;'Por dia'!$S$5,Ações!$O$6:$O$404,"Sim")</f>
        <v>0</v>
      </c>
      <c r="D77" s="28" t="n">
        <f aca="false">COUNTIFS(Ações!$E$6:$E$404,$A77,Ações!$A$6:$A$404,"&gt;="&amp;'Por dia'!$R$5,Ações!$A$6:$A$404,"&lt;="&amp;'Por dia'!$S$5,Ações!$P$6:$P$404,"Atrasada")</f>
        <v>0</v>
      </c>
      <c r="E77" s="14" t="str">
        <f aca="false">IF($C77=0,"",REPT("|",MIN(22,$C77)))</f>
        <v/>
      </c>
    </row>
    <row r="78" customFormat="false" ht="15" hidden="false" customHeight="false" outlineLevel="0" collapsed="false">
      <c r="A78" s="27" t="str">
        <f aca="false">Listas!F10</f>
        <v>Gráfica</v>
      </c>
      <c r="B78" s="28" t="n">
        <f aca="false">COUNTIFS(Ações!$E$6:$E$404,$A78,Ações!$A$6:$A$404,"&gt;="&amp;'Por dia'!$R$5,Ações!$A$6:$A$404,"&lt;="&amp;'Por dia'!$S$5)</f>
        <v>0</v>
      </c>
      <c r="C78" s="28" t="n">
        <f aca="false">COUNTIFS(Ações!$E$6:$E$404,$A78,Ações!$N$6:$N$404,"&gt;="&amp;'Por dia'!$R$5,Ações!$N$6:$N$404,"&lt;="&amp;'Por dia'!$S$5,Ações!$O$6:$O$404,"Sim")</f>
        <v>0</v>
      </c>
      <c r="D78" s="28" t="n">
        <f aca="false">COUNTIFS(Ações!$E$6:$E$404,$A78,Ações!$A$6:$A$404,"&gt;="&amp;'Por dia'!$R$5,Ações!$A$6:$A$404,"&lt;="&amp;'Por dia'!$S$5,Ações!$P$6:$P$404,"Atrasada")</f>
        <v>0</v>
      </c>
      <c r="E78" s="14" t="str">
        <f aca="false">IF($C78=0,"",REPT("|",MIN(22,$C78)))</f>
        <v/>
      </c>
    </row>
    <row r="79" customFormat="false" ht="15" hidden="false" customHeight="false" outlineLevel="0" collapsed="false">
      <c r="A79" s="14" t="s">
        <v>41</v>
      </c>
      <c r="B79" s="29" t="n">
        <f aca="false">SUM(B73:B78)</f>
        <v>0</v>
      </c>
      <c r="C79" s="29" t="n">
        <f aca="false">SUM(C73:C78)</f>
        <v>0</v>
      </c>
      <c r="D79" s="29" t="n">
        <f aca="false">SUM(D73:D78)</f>
        <v>0</v>
      </c>
    </row>
    <row r="82" customFormat="false" ht="15" hidden="false" customHeight="false" outlineLevel="0" collapsed="false">
      <c r="A82" s="15" t="s">
        <v>46</v>
      </c>
    </row>
    <row r="83" customFormat="false" ht="15" hidden="false" customHeight="false" outlineLevel="0" collapsed="false">
      <c r="A83" s="30" t="s">
        <v>47</v>
      </c>
    </row>
    <row r="84" customFormat="false" ht="15" hidden="false" customHeight="false" outlineLevel="0" collapsed="false">
      <c r="A84" s="30" t="s">
        <v>48</v>
      </c>
    </row>
    <row r="85" customFormat="false" ht="15" hidden="false" customHeight="false" outlineLevel="0" collapsed="false">
      <c r="A85" s="30" t="s">
        <v>49</v>
      </c>
    </row>
    <row r="86" customFormat="false" ht="15" hidden="false" customHeight="false" outlineLevel="0" collapsed="false">
      <c r="A86" s="30" t="s">
        <v>50</v>
      </c>
    </row>
    <row r="87" customFormat="false" ht="15" hidden="false" customHeight="false" outlineLevel="0" collapsed="false">
      <c r="A87" s="30" t="s">
        <v>51</v>
      </c>
    </row>
    <row r="88" customFormat="false" ht="15" hidden="false" customHeight="false" outlineLevel="0" collapsed="false">
      <c r="A88" s="30" t="s">
        <v>52</v>
      </c>
    </row>
    <row r="89" customFormat="false" ht="15" hidden="false" customHeight="false" outlineLevel="0" collapsed="false">
      <c r="A89" s="30" t="s">
        <v>53</v>
      </c>
    </row>
    <row r="90" customFormat="false" ht="15" hidden="false" customHeight="false" outlineLevel="0" collapsed="false">
      <c r="A90" s="30" t="s">
        <v>54</v>
      </c>
    </row>
    <row r="91" customFormat="false" ht="15" hidden="false" customHeight="false" outlineLevel="0" collapsed="false">
      <c r="A91" s="30" t="s">
        <v>55</v>
      </c>
    </row>
    <row r="92" customFormat="false" ht="15" hidden="false" customHeight="false" outlineLevel="0" collapsed="false">
      <c r="A92" s="30" t="s">
        <v>56</v>
      </c>
    </row>
    <row r="93" customFormat="false" ht="15" hidden="false" customHeight="false" outlineLevel="0" collapsed="false">
      <c r="A93" s="30" t="s">
        <v>57</v>
      </c>
    </row>
    <row r="94" customFormat="false" ht="15" hidden="false" customHeight="false" outlineLevel="0" collapsed="false">
      <c r="A94" s="30" t="s">
        <v>58</v>
      </c>
    </row>
    <row r="95" customFormat="false" ht="15" hidden="false" customHeight="false" outlineLevel="0" collapsed="false">
      <c r="A95" s="30" t="s">
        <v>59</v>
      </c>
    </row>
  </sheetData>
  <conditionalFormatting sqref="E41:E46">
    <cfRule type="colorScale" priority="2">
      <colorScale>
        <cfvo type="min" val="0"/>
        <cfvo type="max" val="0"/>
        <color rgb="FFFFFFFF"/>
        <color rgb="FF93A6EE"/>
      </colorScale>
    </cfRule>
  </conditionalFormatting>
  <conditionalFormatting sqref="F41:F46">
    <cfRule type="expression" priority="3" aboveAverage="0" equalAverage="0" bottom="0" percent="0" rank="0" text="" dxfId="0">
      <formula>$F41&gt;0</formula>
    </cfRule>
  </conditionalFormatting>
  <conditionalFormatting sqref="D51:D68">
    <cfRule type="colorScale" priority="4">
      <colorScale>
        <cfvo type="min" val="0"/>
        <cfvo type="max" val="0"/>
        <color rgb="FFFFFFFF"/>
        <color rgb="FF93A6EE"/>
      </colorScale>
    </cfRule>
  </conditionalFormatting>
  <dataValidations count="2">
    <dataValidation allowBlank="true" errorStyle="stop" operator="between" prompt="Hoje, Ontem, Últimos 7 dias, Últimos 30 dias, Este mês, Mês passado, Escolher datas ou Tudo" promptTitle="Escolha ou digite" showDropDown="false" showErrorMessage="false" showInputMessage="false" sqref="B7" type="list">
      <formula1>OFFSET(Listas!$O$5,0,0,MAX(1,COUNTA(Listas!$O$5:$O$64)),1)</formula1>
      <formula2>0</formula2>
    </dataValidation>
    <dataValidation allowBlank="false" errorStyle="stop" operator="greaterThan" prompt="Só usado quando o filtro está em Escolher datas" promptTitle="Data" showDropDown="false" showErrorMessage="false" showInputMessage="false" sqref="D7:F7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5"/>
    <col collapsed="false" customWidth="true" hidden="false" outlineLevel="0" max="12" min="11" style="0" width="20"/>
    <col collapsed="false" customWidth="true" hidden="false" outlineLevel="0" max="13" min="13" style="0" width="24"/>
    <col collapsed="false" customWidth="true" hidden="false" outlineLevel="0" max="14" min="14" style="0" width="12"/>
    <col collapsed="false" customWidth="true" hidden="false" outlineLevel="0" max="15" min="15" style="0" width="20"/>
  </cols>
  <sheetData>
    <row r="1" customFormat="false" ht="25.5" hidden="false" customHeight="true" outlineLevel="0" collapsed="false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3.5" hidden="false" customHeight="true" outlineLevel="0" collapsed="false">
      <c r="A2" s="3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30" hidden="false" customHeight="true" outlineLevel="0" collapsed="false">
      <c r="A4" s="26" t="s">
        <v>62</v>
      </c>
      <c r="B4" s="26" t="s">
        <v>63</v>
      </c>
      <c r="C4" s="26" t="s">
        <v>64</v>
      </c>
      <c r="D4" s="26" t="s">
        <v>65</v>
      </c>
      <c r="E4" s="26" t="s">
        <v>66</v>
      </c>
      <c r="F4" s="26" t="s">
        <v>67</v>
      </c>
      <c r="G4" s="26" t="s">
        <v>68</v>
      </c>
      <c r="H4" s="26" t="s">
        <v>69</v>
      </c>
      <c r="I4" s="26" t="s">
        <v>70</v>
      </c>
      <c r="J4" s="26" t="s">
        <v>71</v>
      </c>
      <c r="K4" s="26" t="s">
        <v>72</v>
      </c>
      <c r="L4" s="26" t="s">
        <v>73</v>
      </c>
      <c r="M4" s="26" t="s">
        <v>74</v>
      </c>
      <c r="N4" s="26" t="s">
        <v>75</v>
      </c>
      <c r="O4" s="26" t="s">
        <v>76</v>
      </c>
    </row>
    <row r="5" customFormat="false" ht="15" hidden="false" customHeight="false" outlineLevel="0" collapsed="false">
      <c r="A5" s="31" t="s">
        <v>77</v>
      </c>
      <c r="B5" s="31" t="s">
        <v>78</v>
      </c>
      <c r="C5" s="31" t="s">
        <v>79</v>
      </c>
      <c r="D5" s="31" t="n">
        <v>3</v>
      </c>
      <c r="E5" s="31" t="s">
        <v>80</v>
      </c>
      <c r="F5" s="31" t="s">
        <v>81</v>
      </c>
      <c r="G5" s="31" t="s">
        <v>82</v>
      </c>
      <c r="H5" s="31" t="s">
        <v>83</v>
      </c>
      <c r="I5" s="31" t="s">
        <v>84</v>
      </c>
      <c r="J5" s="31" t="s">
        <v>85</v>
      </c>
      <c r="K5" s="31" t="s">
        <v>86</v>
      </c>
      <c r="L5" s="31" t="s">
        <v>87</v>
      </c>
      <c r="M5" s="31" t="s">
        <v>88</v>
      </c>
      <c r="N5" s="31" t="s">
        <v>89</v>
      </c>
      <c r="O5" s="31" t="s">
        <v>90</v>
      </c>
    </row>
    <row r="6" customFormat="false" ht="15" hidden="false" customHeight="false" outlineLevel="0" collapsed="false">
      <c r="A6" s="31" t="s">
        <v>91</v>
      </c>
      <c r="B6" s="31" t="s">
        <v>92</v>
      </c>
      <c r="C6" s="31" t="s">
        <v>93</v>
      </c>
      <c r="D6" s="31" t="n">
        <v>2</v>
      </c>
      <c r="E6" s="31" t="s">
        <v>80</v>
      </c>
      <c r="F6" s="31" t="s">
        <v>94</v>
      </c>
      <c r="H6" s="31" t="s">
        <v>95</v>
      </c>
      <c r="I6" s="31" t="s">
        <v>96</v>
      </c>
      <c r="J6" s="31" t="s">
        <v>20</v>
      </c>
      <c r="K6" s="31" t="s">
        <v>97</v>
      </c>
      <c r="L6" s="31" t="s">
        <v>98</v>
      </c>
      <c r="M6" s="31" t="s">
        <v>99</v>
      </c>
      <c r="N6" s="31" t="s">
        <v>100</v>
      </c>
      <c r="O6" s="31" t="s">
        <v>101</v>
      </c>
    </row>
    <row r="7" customFormat="false" ht="15" hidden="false" customHeight="false" outlineLevel="0" collapsed="false">
      <c r="A7" s="31" t="s">
        <v>102</v>
      </c>
      <c r="B7" s="31" t="s">
        <v>103</v>
      </c>
      <c r="C7" s="31" t="s">
        <v>104</v>
      </c>
      <c r="D7" s="31" t="n">
        <v>4</v>
      </c>
      <c r="E7" s="31" t="s">
        <v>80</v>
      </c>
      <c r="F7" s="31" t="s">
        <v>105</v>
      </c>
      <c r="H7" s="31" t="s">
        <v>106</v>
      </c>
      <c r="I7" s="31" t="s">
        <v>107</v>
      </c>
      <c r="J7" s="31" t="s">
        <v>21</v>
      </c>
      <c r="K7" s="31" t="s">
        <v>108</v>
      </c>
      <c r="L7" s="31" t="s">
        <v>109</v>
      </c>
      <c r="M7" s="31" t="s">
        <v>110</v>
      </c>
      <c r="N7" s="31" t="s">
        <v>111</v>
      </c>
      <c r="O7" s="31" t="s">
        <v>112</v>
      </c>
    </row>
    <row r="8" customFormat="false" ht="15" hidden="false" customHeight="false" outlineLevel="0" collapsed="false">
      <c r="A8" s="31" t="s">
        <v>113</v>
      </c>
      <c r="B8" s="31" t="s">
        <v>114</v>
      </c>
      <c r="C8" s="31" t="s">
        <v>115</v>
      </c>
      <c r="D8" s="31" t="n">
        <v>1</v>
      </c>
      <c r="E8" s="31" t="s">
        <v>116</v>
      </c>
      <c r="F8" s="31" t="s">
        <v>117</v>
      </c>
      <c r="I8" s="31" t="s">
        <v>118</v>
      </c>
      <c r="J8" s="31" t="s">
        <v>119</v>
      </c>
      <c r="L8" s="31" t="s">
        <v>120</v>
      </c>
      <c r="M8" s="31" t="s">
        <v>121</v>
      </c>
      <c r="O8" s="31" t="s">
        <v>7</v>
      </c>
    </row>
    <row r="9" customFormat="false" ht="15" hidden="false" customHeight="false" outlineLevel="0" collapsed="false">
      <c r="A9" s="31" t="s">
        <v>122</v>
      </c>
      <c r="B9" s="31" t="s">
        <v>123</v>
      </c>
      <c r="C9" s="31" t="s">
        <v>124</v>
      </c>
      <c r="D9" s="31" t="n">
        <v>2</v>
      </c>
      <c r="E9" s="31" t="s">
        <v>116</v>
      </c>
      <c r="F9" s="31" t="s">
        <v>125</v>
      </c>
      <c r="I9" s="31" t="s">
        <v>126</v>
      </c>
      <c r="J9" s="31" t="s">
        <v>24</v>
      </c>
      <c r="L9" s="31" t="s">
        <v>127</v>
      </c>
      <c r="M9" s="31" t="s">
        <v>128</v>
      </c>
      <c r="O9" s="31" t="s">
        <v>129</v>
      </c>
    </row>
    <row r="10" customFormat="false" ht="15" hidden="false" customHeight="false" outlineLevel="0" collapsed="false">
      <c r="A10" s="31" t="s">
        <v>95</v>
      </c>
      <c r="B10" s="31" t="s">
        <v>130</v>
      </c>
      <c r="C10" s="31" t="s">
        <v>131</v>
      </c>
      <c r="D10" s="31" t="n">
        <v>3</v>
      </c>
      <c r="E10" s="31" t="s">
        <v>116</v>
      </c>
      <c r="F10" s="31" t="s">
        <v>132</v>
      </c>
      <c r="I10" s="31" t="s">
        <v>133</v>
      </c>
      <c r="L10" s="31" t="s">
        <v>134</v>
      </c>
      <c r="M10" s="31" t="s">
        <v>135</v>
      </c>
      <c r="O10" s="31" t="s">
        <v>136</v>
      </c>
    </row>
    <row r="11" customFormat="false" ht="15" hidden="false" customHeight="false" outlineLevel="0" collapsed="false">
      <c r="B11" s="31" t="s">
        <v>137</v>
      </c>
      <c r="C11" s="31" t="s">
        <v>138</v>
      </c>
      <c r="D11" s="31" t="n">
        <v>2</v>
      </c>
      <c r="E11" s="31" t="s">
        <v>80</v>
      </c>
      <c r="I11" s="31" t="s">
        <v>139</v>
      </c>
      <c r="L11" s="31" t="s">
        <v>140</v>
      </c>
      <c r="M11" s="31" t="s">
        <v>141</v>
      </c>
      <c r="O11" s="31" t="s">
        <v>142</v>
      </c>
    </row>
    <row r="12" customFormat="false" ht="15" hidden="false" customHeight="false" outlineLevel="0" collapsed="false">
      <c r="B12" s="31" t="s">
        <v>143</v>
      </c>
      <c r="C12" s="31" t="s">
        <v>144</v>
      </c>
      <c r="D12" s="31" t="n">
        <v>5</v>
      </c>
      <c r="E12" s="31" t="s">
        <v>116</v>
      </c>
      <c r="I12" s="31" t="s">
        <v>145</v>
      </c>
      <c r="O12" s="31" t="s">
        <v>146</v>
      </c>
    </row>
    <row r="13" customFormat="false" ht="15" hidden="false" customHeight="false" outlineLevel="0" collapsed="false">
      <c r="B13" s="31" t="s">
        <v>147</v>
      </c>
      <c r="I13" s="31" t="s">
        <v>148</v>
      </c>
    </row>
    <row r="14" customFormat="false" ht="15" hidden="false" customHeight="false" outlineLevel="0" collapsed="false">
      <c r="B14" s="31" t="s">
        <v>149</v>
      </c>
    </row>
    <row r="15" customFormat="false" ht="15" hidden="false" customHeight="false" outlineLevel="0" collapsed="false">
      <c r="B15" s="31" t="s">
        <v>150</v>
      </c>
    </row>
    <row r="16" customFormat="false" ht="15" hidden="false" customHeight="false" outlineLevel="0" collapsed="false">
      <c r="B16" s="31" t="s">
        <v>151</v>
      </c>
    </row>
    <row r="17" customFormat="false" ht="15" hidden="false" customHeight="false" outlineLevel="0" collapsed="false">
      <c r="B17" s="31" t="s">
        <v>152</v>
      </c>
    </row>
    <row r="18" customFormat="false" ht="15" hidden="false" customHeight="false" outlineLevel="0" collapsed="false">
      <c r="B18" s="31" t="s">
        <v>153</v>
      </c>
    </row>
    <row r="19" customFormat="false" ht="15" hidden="false" customHeight="false" outlineLevel="0" collapsed="false">
      <c r="B19" s="31" t="s">
        <v>154</v>
      </c>
    </row>
    <row r="20" customFormat="false" ht="15" hidden="false" customHeight="false" outlineLevel="0" collapsed="false">
      <c r="B20" s="31" t="s">
        <v>155</v>
      </c>
    </row>
    <row r="21" customFormat="false" ht="15" hidden="false" customHeight="false" outlineLevel="0" collapsed="false">
      <c r="B21" s="31" t="s">
        <v>156</v>
      </c>
    </row>
    <row r="22" customFormat="false" ht="15" hidden="false" customHeight="false" outlineLevel="0" collapsed="false">
      <c r="B22" s="31" t="s">
        <v>157</v>
      </c>
    </row>
    <row r="66" customFormat="false" ht="15" hidden="false" customHeight="false" outlineLevel="0" collapsed="false">
      <c r="A66" s="21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34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30"/>
    <col collapsed="false" customWidth="true" hidden="false" outlineLevel="0" max="18" min="18" style="0" width="28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13"/>
  </cols>
  <sheetData>
    <row r="1" customFormat="false" ht="25.5" hidden="false" customHeight="true" outlineLevel="0" collapsed="false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3.5" hidden="false" customHeight="true" outlineLevel="0" collapsed="false">
      <c r="A2" s="3" t="s">
        <v>160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customFormat="false" ht="30" hidden="false" customHeight="true" outlineLevel="0" collapsed="false">
      <c r="A4" s="26" t="s">
        <v>161</v>
      </c>
      <c r="B4" s="26" t="s">
        <v>36</v>
      </c>
      <c r="C4" s="26" t="s">
        <v>162</v>
      </c>
      <c r="D4" s="26" t="s">
        <v>64</v>
      </c>
      <c r="E4" s="26" t="s">
        <v>67</v>
      </c>
      <c r="F4" s="26" t="s">
        <v>163</v>
      </c>
      <c r="G4" s="26" t="s">
        <v>69</v>
      </c>
      <c r="H4" s="26" t="s">
        <v>164</v>
      </c>
      <c r="I4" s="26" t="s">
        <v>70</v>
      </c>
      <c r="J4" s="26" t="s">
        <v>165</v>
      </c>
      <c r="K4" s="26" t="s">
        <v>71</v>
      </c>
      <c r="L4" s="26" t="s">
        <v>166</v>
      </c>
      <c r="M4" s="26" t="s">
        <v>167</v>
      </c>
      <c r="N4" s="26" t="s">
        <v>168</v>
      </c>
      <c r="O4" s="26" t="s">
        <v>169</v>
      </c>
      <c r="P4" s="26" t="s">
        <v>170</v>
      </c>
      <c r="Q4" s="26" t="s">
        <v>171</v>
      </c>
      <c r="R4" s="26" t="s">
        <v>172</v>
      </c>
      <c r="S4" s="26" t="s">
        <v>173</v>
      </c>
      <c r="T4" s="26" t="s">
        <v>174</v>
      </c>
      <c r="U4" s="26" t="s">
        <v>66</v>
      </c>
    </row>
    <row r="5" customFormat="false" ht="15" hidden="false" customHeight="false" outlineLevel="0" collapsed="false">
      <c r="A5" s="32" t="n">
        <v>46280</v>
      </c>
      <c r="B5" s="33" t="s">
        <v>77</v>
      </c>
      <c r="C5" s="33" t="s">
        <v>78</v>
      </c>
      <c r="D5" s="33" t="s">
        <v>79</v>
      </c>
      <c r="E5" s="33" t="s">
        <v>94</v>
      </c>
      <c r="F5" s="33" t="s">
        <v>92</v>
      </c>
      <c r="G5" s="33" t="s">
        <v>83</v>
      </c>
      <c r="H5" s="33" t="s">
        <v>175</v>
      </c>
      <c r="I5" s="33" t="s">
        <v>84</v>
      </c>
      <c r="J5" s="33" t="s">
        <v>176</v>
      </c>
      <c r="K5" s="33" t="s">
        <v>20</v>
      </c>
      <c r="L5" s="33"/>
      <c r="M5" s="34" t="n">
        <f aca="false">IF(OR($A5="",$D5=""),"",$A5+IFERROR(INDEX(Listas!$D$5:$D$64,MATCH($D5,Listas!$C$5:$C$64,0)),3))</f>
        <v>46283</v>
      </c>
      <c r="N5" s="32"/>
      <c r="O5" s="35" t="str">
        <f aca="false">IF($A5="","",IF($K5="Concluído","Sim","Não"))</f>
        <v>Não</v>
      </c>
      <c r="P5" s="35" t="str">
        <f aca="true">IF($A5="","",IF($K5="Stand-by","Stand-by",IF($K5="Concluído","Concluída",IF(AND($M5&lt;&gt;"",$M5&lt;TODAY()),"Atrasada","Em dia"))))</f>
        <v>Em dia</v>
      </c>
      <c r="Q5" s="35" t="str">
        <f aca="false">IF($A5="","",IF(LEN(IF($J5="","título, ","")&amp;IF($C5="","responsável, ","")&amp;IF($D5="","tipo, ","")&amp;IF($I5="","canal, ","")&amp;IF($H5="","município, ","")&amp;IF(AND($U5="Sim",$E5=""),"empresa, ","")&amp;IF(AND($U5="Sim",$F5=""),"editor, ","")&amp;IF(AND($K5="Concluído",$N5=""),"data de conclusão, ","")&amp;IF(AND($K5="Concluído",$R5=""),"link, ","")&amp;IF(AND($K5="Concluído",$L5=""),"quem liberou, ",""))=0,"OK","Falta "&amp;LEFT(IF($J5="","título, ","")&amp;IF($C5="","responsável, ","")&amp;IF($D5="","tipo, ","")&amp;IF($I5="","canal, ","")&amp;IF($H5="","município, ","")&amp;IF(AND($U5="Sim",$E5=""),"empresa, ","")&amp;IF(AND($U5="Sim",$F5=""),"editor, ","")&amp;IF(AND($K5="Concluído",$N5=""),"data de conclusão, ","")&amp;IF(AND($K5="Concluído",$R5=""),"link, ","")&amp;IF(AND($K5="Concluído",$L5=""),"quem liberou, ",""),LEN(IF($J5="","título, ","")&amp;IF($C5="","responsável, ","")&amp;IF($D5="","tipo, ","")&amp;IF($I5="","canal, ","")&amp;IF($H5="","município, ","")&amp;IF(AND($U5="Sim",$E5=""),"empresa, ","")&amp;IF(AND($U5="Sim",$F5=""),"editor, ","")&amp;IF(AND($K5="Concluído",$N5=""),"data de conclusão, ","")&amp;IF(AND($K5="Concluído",$R5=""),"link, ","")&amp;IF(AND($K5="Concluído",$L5=""),"quem liberou, ",""))-2)))</f>
        <v>OK</v>
      </c>
      <c r="R5" s="33" t="s">
        <v>177</v>
      </c>
      <c r="S5" s="33" t="n">
        <v>28</v>
      </c>
      <c r="T5" s="33" t="s">
        <v>178</v>
      </c>
      <c r="U5" s="36" t="str">
        <f aca="false">IF($A5="","",IFERROR(INDEX(Listas!$E$5:$E$64,MATCH($D5,Listas!$C$5:$C$64,0)),"Não"))</f>
        <v>Sim</v>
      </c>
    </row>
    <row r="6" customFormat="false" ht="15" hidden="false" customHeight="false" outlineLevel="0" collapsed="false">
      <c r="A6" s="37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9" t="str">
        <f aca="false">IF(OR($A6="",$D6=""),"",$A6+IFERROR(INDEX(Listas!$D$5:$D$64,MATCH($D6,Listas!$C$5:$C$64,0)),3))</f>
        <v/>
      </c>
      <c r="N6" s="37"/>
      <c r="O6" s="40" t="str">
        <f aca="false">IF($A6="","",IF($K6="Concluído","Sim","Não"))</f>
        <v/>
      </c>
      <c r="P6" s="40" t="str">
        <f aca="true">IF($A6="","",IF($K6="Stand-by","Stand-by",IF($K6="Concluído","Concluída",IF(AND($M6&lt;&gt;"",$M6&lt;TODAY()),"Atrasada","Em dia"))))</f>
        <v/>
      </c>
      <c r="Q6" s="40" t="str">
        <f aca="false">IF($A6="","",IF(LEN(IF($J6="","título, ","")&amp;IF($C6="","responsável, ","")&amp;IF($D6="","tipo, ","")&amp;IF($I6="","canal, ","")&amp;IF($H6="","município, ","")&amp;IF(AND($U6="Sim",$E6=""),"empresa, ","")&amp;IF(AND($U6="Sim",$F6=""),"editor, ","")&amp;IF(AND($K6="Concluído",$N6=""),"data de conclusão, ","")&amp;IF(AND($K6="Concluído",$R6=""),"link, ","")&amp;IF(AND($K6="Concluído",$L6=""),"quem liberou, ",""))=0,"OK","Falta "&amp;LEFT(IF($J6="","título, ","")&amp;IF($C6="","responsável, ","")&amp;IF($D6="","tipo, ","")&amp;IF($I6="","canal, ","")&amp;IF($H6="","município, ","")&amp;IF(AND($U6="Sim",$E6=""),"empresa, ","")&amp;IF(AND($U6="Sim",$F6=""),"editor, ","")&amp;IF(AND($K6="Concluído",$N6=""),"data de conclusão, ","")&amp;IF(AND($K6="Concluído",$R6=""),"link, ","")&amp;IF(AND($K6="Concluído",$L6=""),"quem liberou, ",""),LEN(IF($J6="","título, ","")&amp;IF($C6="","responsável, ","")&amp;IF($D6="","tipo, ","")&amp;IF($I6="","canal, ","")&amp;IF($H6="","município, ","")&amp;IF(AND($U6="Sim",$E6=""),"empresa, ","")&amp;IF(AND($U6="Sim",$F6=""),"editor, ","")&amp;IF(AND($K6="Concluído",$N6=""),"data de conclusão, ","")&amp;IF(AND($K6="Concluído",$R6=""),"link, ","")&amp;IF(AND($K6="Concluído",$L6=""),"quem liberou, ",""))-2)))</f>
        <v/>
      </c>
      <c r="R6" s="38"/>
      <c r="S6" s="38"/>
      <c r="T6" s="38"/>
      <c r="U6" s="40" t="str">
        <f aca="false">IF($A6="","",IFERROR(INDEX(Listas!$E$5:$E$64,MATCH($D6,Listas!$C$5:$C$64,0)),"Não"))</f>
        <v/>
      </c>
    </row>
    <row r="7" customFormat="false" ht="15" hidden="false" customHeight="false" outlineLevel="0" collapsed="false">
      <c r="A7" s="37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9" t="str">
        <f aca="false">IF(OR($A7="",$D7=""),"",$A7+IFERROR(INDEX(Listas!$D$5:$D$64,MATCH($D7,Listas!$C$5:$C$64,0)),3))</f>
        <v/>
      </c>
      <c r="N7" s="37"/>
      <c r="O7" s="40" t="str">
        <f aca="false">IF($A7="","",IF($K7="Concluído","Sim","Não"))</f>
        <v/>
      </c>
      <c r="P7" s="40" t="str">
        <f aca="true">IF($A7="","",IF($K7="Stand-by","Stand-by",IF($K7="Concluído","Concluída",IF(AND($M7&lt;&gt;"",$M7&lt;TODAY()),"Atrasada","Em dia"))))</f>
        <v/>
      </c>
      <c r="Q7" s="40" t="str">
        <f aca="false">IF($A7="","",IF(LEN(IF($J7="","título, ","")&amp;IF($C7="","responsável, ","")&amp;IF($D7="","tipo, ","")&amp;IF($I7="","canal, ","")&amp;IF($H7="","município, ","")&amp;IF(AND($U7="Sim",$E7=""),"empresa, ","")&amp;IF(AND($U7="Sim",$F7=""),"editor, ","")&amp;IF(AND($K7="Concluído",$N7=""),"data de conclusão, ","")&amp;IF(AND($K7="Concluído",$R7=""),"link, ","")&amp;IF(AND($K7="Concluído",$L7=""),"quem liberou, ",""))=0,"OK","Falta "&amp;LEFT(IF($J7="","título, ","")&amp;IF($C7="","responsável, ","")&amp;IF($D7="","tipo, ","")&amp;IF($I7="","canal, ","")&amp;IF($H7="","município, ","")&amp;IF(AND($U7="Sim",$E7=""),"empresa, ","")&amp;IF(AND($U7="Sim",$F7=""),"editor, ","")&amp;IF(AND($K7="Concluído",$N7=""),"data de conclusão, ","")&amp;IF(AND($K7="Concluído",$R7=""),"link, ","")&amp;IF(AND($K7="Concluído",$L7=""),"quem liberou, ",""),LEN(IF($J7="","título, ","")&amp;IF($C7="","responsável, ","")&amp;IF($D7="","tipo, ","")&amp;IF($I7="","canal, ","")&amp;IF($H7="","município, ","")&amp;IF(AND($U7="Sim",$E7=""),"empresa, ","")&amp;IF(AND($U7="Sim",$F7=""),"editor, ","")&amp;IF(AND($K7="Concluído",$N7=""),"data de conclusão, ","")&amp;IF(AND($K7="Concluído",$R7=""),"link, ","")&amp;IF(AND($K7="Concluído",$L7=""),"quem liberou, ",""))-2)))</f>
        <v/>
      </c>
      <c r="R7" s="38"/>
      <c r="S7" s="38"/>
      <c r="T7" s="38"/>
      <c r="U7" s="40" t="str">
        <f aca="false">IF($A7="","",IFERROR(INDEX(Listas!$E$5:$E$64,MATCH($D7,Listas!$C$5:$C$64,0)),"Não"))</f>
        <v/>
      </c>
    </row>
    <row r="8" customFormat="false" ht="15" hidden="false" customHeight="false" outlineLevel="0" collapsed="false">
      <c r="A8" s="37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 t="str">
        <f aca="false">IF(OR($A8="",$D8=""),"",$A8+IFERROR(INDEX(Listas!$D$5:$D$64,MATCH($D8,Listas!$C$5:$C$64,0)),3))</f>
        <v/>
      </c>
      <c r="N8" s="37"/>
      <c r="O8" s="40" t="str">
        <f aca="false">IF($A8="","",IF($K8="Concluído","Sim","Não"))</f>
        <v/>
      </c>
      <c r="P8" s="40" t="str">
        <f aca="true">IF($A8="","",IF($K8="Stand-by","Stand-by",IF($K8="Concluído","Concluída",IF(AND($M8&lt;&gt;"",$M8&lt;TODAY()),"Atrasada","Em dia"))))</f>
        <v/>
      </c>
      <c r="Q8" s="40" t="str">
        <f aca="false">IF($A8="","",IF(LEN(IF($J8="","título, ","")&amp;IF($C8="","responsável, ","")&amp;IF($D8="","tipo, ","")&amp;IF($I8="","canal, ","")&amp;IF($H8="","município, ","")&amp;IF(AND($U8="Sim",$E8=""),"empresa, ","")&amp;IF(AND($U8="Sim",$F8=""),"editor, ","")&amp;IF(AND($K8="Concluído",$N8=""),"data de conclusão, ","")&amp;IF(AND($K8="Concluído",$R8=""),"link, ","")&amp;IF(AND($K8="Concluído",$L8=""),"quem liberou, ",""))=0,"OK","Falta "&amp;LEFT(IF($J8="","título, ","")&amp;IF($C8="","responsável, ","")&amp;IF($D8="","tipo, ","")&amp;IF($I8="","canal, ","")&amp;IF($H8="","município, ","")&amp;IF(AND($U8="Sim",$E8=""),"empresa, ","")&amp;IF(AND($U8="Sim",$F8=""),"editor, ","")&amp;IF(AND($K8="Concluído",$N8=""),"data de conclusão, ","")&amp;IF(AND($K8="Concluído",$R8=""),"link, ","")&amp;IF(AND($K8="Concluído",$L8=""),"quem liberou, ",""),LEN(IF($J8="","título, ","")&amp;IF($C8="","responsável, ","")&amp;IF($D8="","tipo, ","")&amp;IF($I8="","canal, ","")&amp;IF($H8="","município, ","")&amp;IF(AND($U8="Sim",$E8=""),"empresa, ","")&amp;IF(AND($U8="Sim",$F8=""),"editor, ","")&amp;IF(AND($K8="Concluído",$N8=""),"data de conclusão, ","")&amp;IF(AND($K8="Concluído",$R8=""),"link, ","")&amp;IF(AND($K8="Concluído",$L8=""),"quem liberou, ",""))-2)))</f>
        <v/>
      </c>
      <c r="R8" s="38"/>
      <c r="S8" s="38"/>
      <c r="T8" s="38"/>
      <c r="U8" s="40" t="str">
        <f aca="false">IF($A8="","",IFERROR(INDEX(Listas!$E$5:$E$64,MATCH($D8,Listas!$C$5:$C$64,0)),"Não"))</f>
        <v/>
      </c>
    </row>
    <row r="9" customFormat="false" ht="15" hidden="false" customHeight="false" outlineLevel="0" collapsed="false">
      <c r="A9" s="37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9" t="str">
        <f aca="false">IF(OR($A9="",$D9=""),"",$A9+IFERROR(INDEX(Listas!$D$5:$D$64,MATCH($D9,Listas!$C$5:$C$64,0)),3))</f>
        <v/>
      </c>
      <c r="N9" s="37"/>
      <c r="O9" s="40" t="str">
        <f aca="false">IF($A9="","",IF($K9="Concluído","Sim","Não"))</f>
        <v/>
      </c>
      <c r="P9" s="40" t="str">
        <f aca="true">IF($A9="","",IF($K9="Stand-by","Stand-by",IF($K9="Concluído","Concluída",IF(AND($M9&lt;&gt;"",$M9&lt;TODAY()),"Atrasada","Em dia"))))</f>
        <v/>
      </c>
      <c r="Q9" s="40" t="str">
        <f aca="false">IF($A9="","",IF(LEN(IF($J9="","título, ","")&amp;IF($C9="","responsável, ","")&amp;IF($D9="","tipo, ","")&amp;IF($I9="","canal, ","")&amp;IF($H9="","município, ","")&amp;IF(AND($U9="Sim",$E9=""),"empresa, ","")&amp;IF(AND($U9="Sim",$F9=""),"editor, ","")&amp;IF(AND($K9="Concluído",$N9=""),"data de conclusão, ","")&amp;IF(AND($K9="Concluído",$R9=""),"link, ","")&amp;IF(AND($K9="Concluído",$L9=""),"quem liberou, ",""))=0,"OK","Falta "&amp;LEFT(IF($J9="","título, ","")&amp;IF($C9="","responsável, ","")&amp;IF($D9="","tipo, ","")&amp;IF($I9="","canal, ","")&amp;IF($H9="","município, ","")&amp;IF(AND($U9="Sim",$E9=""),"empresa, ","")&amp;IF(AND($U9="Sim",$F9=""),"editor, ","")&amp;IF(AND($K9="Concluído",$N9=""),"data de conclusão, ","")&amp;IF(AND($K9="Concluído",$R9=""),"link, ","")&amp;IF(AND($K9="Concluído",$L9=""),"quem liberou, ",""),LEN(IF($J9="","título, ","")&amp;IF($C9="","responsável, ","")&amp;IF($D9="","tipo, ","")&amp;IF($I9="","canal, ","")&amp;IF($H9="","município, ","")&amp;IF(AND($U9="Sim",$E9=""),"empresa, ","")&amp;IF(AND($U9="Sim",$F9=""),"editor, ","")&amp;IF(AND($K9="Concluído",$N9=""),"data de conclusão, ","")&amp;IF(AND($K9="Concluído",$R9=""),"link, ","")&amp;IF(AND($K9="Concluído",$L9=""),"quem liberou, ",""))-2)))</f>
        <v/>
      </c>
      <c r="R9" s="38"/>
      <c r="S9" s="38"/>
      <c r="T9" s="38"/>
      <c r="U9" s="40" t="str">
        <f aca="false">IF($A9="","",IFERROR(INDEX(Listas!$E$5:$E$64,MATCH($D9,Listas!$C$5:$C$64,0)),"Não"))</f>
        <v/>
      </c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9" t="str">
        <f aca="false">IF(OR($A10="",$D10=""),"",$A10+IFERROR(INDEX(Listas!$D$5:$D$64,MATCH($D10,Listas!$C$5:$C$64,0)),3))</f>
        <v/>
      </c>
      <c r="N10" s="37"/>
      <c r="O10" s="40" t="str">
        <f aca="false">IF($A10="","",IF($K10="Concluído","Sim","Não"))</f>
        <v/>
      </c>
      <c r="P10" s="40" t="str">
        <f aca="true">IF($A10="","",IF($K10="Stand-by","Stand-by",IF($K10="Concluído","Concluída",IF(AND($M10&lt;&gt;"",$M10&lt;TODAY()),"Atrasada","Em dia"))))</f>
        <v/>
      </c>
      <c r="Q10" s="40" t="str">
        <f aca="false">IF($A10="","",IF(LEN(IF($J10="","título, ","")&amp;IF($C10="","responsável, ","")&amp;IF($D10="","tipo, ","")&amp;IF($I10="","canal, ","")&amp;IF($H10="","município, ","")&amp;IF(AND($U10="Sim",$E10=""),"empresa, ","")&amp;IF(AND($U10="Sim",$F10=""),"editor, ","")&amp;IF(AND($K10="Concluído",$N10=""),"data de conclusão, ","")&amp;IF(AND($K10="Concluído",$R10=""),"link, ","")&amp;IF(AND($K10="Concluído",$L10=""),"quem liberou, ",""))=0,"OK","Falta "&amp;LEFT(IF($J10="","título, ","")&amp;IF($C10="","responsável, ","")&amp;IF($D10="","tipo, ","")&amp;IF($I10="","canal, ","")&amp;IF($H10="","município, ","")&amp;IF(AND($U10="Sim",$E10=""),"empresa, ","")&amp;IF(AND($U10="Sim",$F10=""),"editor, ","")&amp;IF(AND($K10="Concluído",$N10=""),"data de conclusão, ","")&amp;IF(AND($K10="Concluído",$R10=""),"link, ","")&amp;IF(AND($K10="Concluído",$L10=""),"quem liberou, ",""),LEN(IF($J10="","título, ","")&amp;IF($C10="","responsável, ","")&amp;IF($D10="","tipo, ","")&amp;IF($I10="","canal, ","")&amp;IF($H10="","município, ","")&amp;IF(AND($U10="Sim",$E10=""),"empresa, ","")&amp;IF(AND($U10="Sim",$F10=""),"editor, ","")&amp;IF(AND($K10="Concluído",$N10=""),"data de conclusão, ","")&amp;IF(AND($K10="Concluído",$R10=""),"link, ","")&amp;IF(AND($K10="Concluído",$L10=""),"quem liberou, ",""))-2)))</f>
        <v/>
      </c>
      <c r="R10" s="38"/>
      <c r="S10" s="38"/>
      <c r="T10" s="38"/>
      <c r="U10" s="40" t="str">
        <f aca="false">IF($A10="","",IFERROR(INDEX(Listas!$E$5:$E$64,MATCH($D10,Listas!$C$5:$C$64,0)),"Não"))</f>
        <v/>
      </c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9" t="str">
        <f aca="false">IF(OR($A11="",$D11=""),"",$A11+IFERROR(INDEX(Listas!$D$5:$D$64,MATCH($D11,Listas!$C$5:$C$64,0)),3))</f>
        <v/>
      </c>
      <c r="N11" s="37"/>
      <c r="O11" s="40" t="str">
        <f aca="false">IF($A11="","",IF($K11="Concluído","Sim","Não"))</f>
        <v/>
      </c>
      <c r="P11" s="40" t="str">
        <f aca="true">IF($A11="","",IF($K11="Stand-by","Stand-by",IF($K11="Concluído","Concluída",IF(AND($M11&lt;&gt;"",$M11&lt;TODAY()),"Atrasada","Em dia"))))</f>
        <v/>
      </c>
      <c r="Q11" s="40" t="str">
        <f aca="false">IF($A11="","",IF(LEN(IF($J11="","título, ","")&amp;IF($C11="","responsável, ","")&amp;IF($D11="","tipo, ","")&amp;IF($I11="","canal, ","")&amp;IF($H11="","município, ","")&amp;IF(AND($U11="Sim",$E11=""),"empresa, ","")&amp;IF(AND($U11="Sim",$F11=""),"editor, ","")&amp;IF(AND($K11="Concluído",$N11=""),"data de conclusão, ","")&amp;IF(AND($K11="Concluído",$R11=""),"link, ","")&amp;IF(AND($K11="Concluído",$L11=""),"quem liberou, ",""))=0,"OK","Falta "&amp;LEFT(IF($J11="","título, ","")&amp;IF($C11="","responsável, ","")&amp;IF($D11="","tipo, ","")&amp;IF($I11="","canal, ","")&amp;IF($H11="","município, ","")&amp;IF(AND($U11="Sim",$E11=""),"empresa, ","")&amp;IF(AND($U11="Sim",$F11=""),"editor, ","")&amp;IF(AND($K11="Concluído",$N11=""),"data de conclusão, ","")&amp;IF(AND($K11="Concluído",$R11=""),"link, ","")&amp;IF(AND($K11="Concluído",$L11=""),"quem liberou, ",""),LEN(IF($J11="","título, ","")&amp;IF($C11="","responsável, ","")&amp;IF($D11="","tipo, ","")&amp;IF($I11="","canal, ","")&amp;IF($H11="","município, ","")&amp;IF(AND($U11="Sim",$E11=""),"empresa, ","")&amp;IF(AND($U11="Sim",$F11=""),"editor, ","")&amp;IF(AND($K11="Concluído",$N11=""),"data de conclusão, ","")&amp;IF(AND($K11="Concluído",$R11=""),"link, ","")&amp;IF(AND($K11="Concluído",$L11=""),"quem liberou, ",""))-2)))</f>
        <v/>
      </c>
      <c r="R11" s="38"/>
      <c r="S11" s="38"/>
      <c r="T11" s="38"/>
      <c r="U11" s="40" t="str">
        <f aca="false">IF($A11="","",IFERROR(INDEX(Listas!$E$5:$E$64,MATCH($D11,Listas!$C$5:$C$64,0)),"Não"))</f>
        <v/>
      </c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9" t="str">
        <f aca="false">IF(OR($A12="",$D12=""),"",$A12+IFERROR(INDEX(Listas!$D$5:$D$64,MATCH($D12,Listas!$C$5:$C$64,0)),3))</f>
        <v/>
      </c>
      <c r="N12" s="37"/>
      <c r="O12" s="40" t="str">
        <f aca="false">IF($A12="","",IF($K12="Concluído","Sim","Não"))</f>
        <v/>
      </c>
      <c r="P12" s="40" t="str">
        <f aca="true">IF($A12="","",IF($K12="Stand-by","Stand-by",IF($K12="Concluído","Concluída",IF(AND($M12&lt;&gt;"",$M12&lt;TODAY()),"Atrasada","Em dia"))))</f>
        <v/>
      </c>
      <c r="Q12" s="40" t="str">
        <f aca="false">IF($A12="","",IF(LEN(IF($J12="","título, ","")&amp;IF($C12="","responsável, ","")&amp;IF($D12="","tipo, ","")&amp;IF($I12="","canal, ","")&amp;IF($H12="","município, ","")&amp;IF(AND($U12="Sim",$E12=""),"empresa, ","")&amp;IF(AND($U12="Sim",$F12=""),"editor, ","")&amp;IF(AND($K12="Concluído",$N12=""),"data de conclusão, ","")&amp;IF(AND($K12="Concluído",$R12=""),"link, ","")&amp;IF(AND($K12="Concluído",$L12=""),"quem liberou, ",""))=0,"OK","Falta "&amp;LEFT(IF($J12="","título, ","")&amp;IF($C12="","responsável, ","")&amp;IF($D12="","tipo, ","")&amp;IF($I12="","canal, ","")&amp;IF($H12="","município, ","")&amp;IF(AND($U12="Sim",$E12=""),"empresa, ","")&amp;IF(AND($U12="Sim",$F12=""),"editor, ","")&amp;IF(AND($K12="Concluído",$N12=""),"data de conclusão, ","")&amp;IF(AND($K12="Concluído",$R12=""),"link, ","")&amp;IF(AND($K12="Concluído",$L12=""),"quem liberou, ",""),LEN(IF($J12="","título, ","")&amp;IF($C12="","responsável, ","")&amp;IF($D12="","tipo, ","")&amp;IF($I12="","canal, ","")&amp;IF($H12="","município, ","")&amp;IF(AND($U12="Sim",$E12=""),"empresa, ","")&amp;IF(AND($U12="Sim",$F12=""),"editor, ","")&amp;IF(AND($K12="Concluído",$N12=""),"data de conclusão, ","")&amp;IF(AND($K12="Concluído",$R12=""),"link, ","")&amp;IF(AND($K12="Concluído",$L12=""),"quem liberou, ",""))-2)))</f>
        <v/>
      </c>
      <c r="R12" s="38"/>
      <c r="S12" s="38"/>
      <c r="T12" s="38"/>
      <c r="U12" s="40" t="str">
        <f aca="false">IF($A12="","",IFERROR(INDEX(Listas!$E$5:$E$64,MATCH($D12,Listas!$C$5:$C$64,0)),"Não"))</f>
        <v/>
      </c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9" t="str">
        <f aca="false">IF(OR($A13="",$D13=""),"",$A13+IFERROR(INDEX(Listas!$D$5:$D$64,MATCH($D13,Listas!$C$5:$C$64,0)),3))</f>
        <v/>
      </c>
      <c r="N13" s="37"/>
      <c r="O13" s="40" t="str">
        <f aca="false">IF($A13="","",IF($K13="Concluído","Sim","Não"))</f>
        <v/>
      </c>
      <c r="P13" s="40" t="str">
        <f aca="true">IF($A13="","",IF($K13="Stand-by","Stand-by",IF($K13="Concluído","Concluída",IF(AND($M13&lt;&gt;"",$M13&lt;TODAY()),"Atrasada","Em dia"))))</f>
        <v/>
      </c>
      <c r="Q13" s="40" t="str">
        <f aca="false">IF($A13="","",IF(LEN(IF($J13="","título, ","")&amp;IF($C13="","responsável, ","")&amp;IF($D13="","tipo, ","")&amp;IF($I13="","canal, ","")&amp;IF($H13="","município, ","")&amp;IF(AND($U13="Sim",$E13=""),"empresa, ","")&amp;IF(AND($U13="Sim",$F13=""),"editor, ","")&amp;IF(AND($K13="Concluído",$N13=""),"data de conclusão, ","")&amp;IF(AND($K13="Concluído",$R13=""),"link, ","")&amp;IF(AND($K13="Concluído",$L13=""),"quem liberou, ",""))=0,"OK","Falta "&amp;LEFT(IF($J13="","título, ","")&amp;IF($C13="","responsável, ","")&amp;IF($D13="","tipo, ","")&amp;IF($I13="","canal, ","")&amp;IF($H13="","município, ","")&amp;IF(AND($U13="Sim",$E13=""),"empresa, ","")&amp;IF(AND($U13="Sim",$F13=""),"editor, ","")&amp;IF(AND($K13="Concluído",$N13=""),"data de conclusão, ","")&amp;IF(AND($K13="Concluído",$R13=""),"link, ","")&amp;IF(AND($K13="Concluído",$L13=""),"quem liberou, ",""),LEN(IF($J13="","título, ","")&amp;IF($C13="","responsável, ","")&amp;IF($D13="","tipo, ","")&amp;IF($I13="","canal, ","")&amp;IF($H13="","município, ","")&amp;IF(AND($U13="Sim",$E13=""),"empresa, ","")&amp;IF(AND($U13="Sim",$F13=""),"editor, ","")&amp;IF(AND($K13="Concluído",$N13=""),"data de conclusão, ","")&amp;IF(AND($K13="Concluído",$R13=""),"link, ","")&amp;IF(AND($K13="Concluído",$L13=""),"quem liberou, ",""))-2)))</f>
        <v/>
      </c>
      <c r="R13" s="38"/>
      <c r="S13" s="38"/>
      <c r="T13" s="38"/>
      <c r="U13" s="40" t="str">
        <f aca="false">IF($A13="","",IFERROR(INDEX(Listas!$E$5:$E$64,MATCH($D13,Listas!$C$5:$C$64,0)),"Não"))</f>
        <v/>
      </c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9" t="str">
        <f aca="false">IF(OR($A14="",$D14=""),"",$A14+IFERROR(INDEX(Listas!$D$5:$D$64,MATCH($D14,Listas!$C$5:$C$64,0)),3))</f>
        <v/>
      </c>
      <c r="N14" s="37"/>
      <c r="O14" s="40" t="str">
        <f aca="false">IF($A14="","",IF($K14="Concluído","Sim","Não"))</f>
        <v/>
      </c>
      <c r="P14" s="40" t="str">
        <f aca="true">IF($A14="","",IF($K14="Stand-by","Stand-by",IF($K14="Concluído","Concluída",IF(AND($M14&lt;&gt;"",$M14&lt;TODAY()),"Atrasada","Em dia"))))</f>
        <v/>
      </c>
      <c r="Q14" s="40" t="str">
        <f aca="false">IF($A14="","",IF(LEN(IF($J14="","título, ","")&amp;IF($C14="","responsável, ","")&amp;IF($D14="","tipo, ","")&amp;IF($I14="","canal, ","")&amp;IF($H14="","município, ","")&amp;IF(AND($U14="Sim",$E14=""),"empresa, ","")&amp;IF(AND($U14="Sim",$F14=""),"editor, ","")&amp;IF(AND($K14="Concluído",$N14=""),"data de conclusão, ","")&amp;IF(AND($K14="Concluído",$R14=""),"link, ","")&amp;IF(AND($K14="Concluído",$L14=""),"quem liberou, ",""))=0,"OK","Falta "&amp;LEFT(IF($J14="","título, ","")&amp;IF($C14="","responsável, ","")&amp;IF($D14="","tipo, ","")&amp;IF($I14="","canal, ","")&amp;IF($H14="","município, ","")&amp;IF(AND($U14="Sim",$E14=""),"empresa, ","")&amp;IF(AND($U14="Sim",$F14=""),"editor, ","")&amp;IF(AND($K14="Concluído",$N14=""),"data de conclusão, ","")&amp;IF(AND($K14="Concluído",$R14=""),"link, ","")&amp;IF(AND($K14="Concluído",$L14=""),"quem liberou, ",""),LEN(IF($J14="","título, ","")&amp;IF($C14="","responsável, ","")&amp;IF($D14="","tipo, ","")&amp;IF($I14="","canal, ","")&amp;IF($H14="","município, ","")&amp;IF(AND($U14="Sim",$E14=""),"empresa, ","")&amp;IF(AND($U14="Sim",$F14=""),"editor, ","")&amp;IF(AND($K14="Concluído",$N14=""),"data de conclusão, ","")&amp;IF(AND($K14="Concluído",$R14=""),"link, ","")&amp;IF(AND($K14="Concluído",$L14=""),"quem liberou, ",""))-2)))</f>
        <v/>
      </c>
      <c r="R14" s="38"/>
      <c r="S14" s="38"/>
      <c r="T14" s="38"/>
      <c r="U14" s="40" t="str">
        <f aca="false">IF($A14="","",IFERROR(INDEX(Listas!$E$5:$E$64,MATCH($D14,Listas!$C$5:$C$64,0)),"Não"))</f>
        <v/>
      </c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9" t="str">
        <f aca="false">IF(OR($A15="",$D15=""),"",$A15+IFERROR(INDEX(Listas!$D$5:$D$64,MATCH($D15,Listas!$C$5:$C$64,0)),3))</f>
        <v/>
      </c>
      <c r="N15" s="37"/>
      <c r="O15" s="40" t="str">
        <f aca="false">IF($A15="","",IF($K15="Concluído","Sim","Não"))</f>
        <v/>
      </c>
      <c r="P15" s="40" t="str">
        <f aca="true">IF($A15="","",IF($K15="Stand-by","Stand-by",IF($K15="Concluído","Concluída",IF(AND($M15&lt;&gt;"",$M15&lt;TODAY()),"Atrasada","Em dia"))))</f>
        <v/>
      </c>
      <c r="Q15" s="40" t="str">
        <f aca="false">IF($A15="","",IF(LEN(IF($J15="","título, ","")&amp;IF($C15="","responsável, ","")&amp;IF($D15="","tipo, ","")&amp;IF($I15="","canal, ","")&amp;IF($H15="","município, ","")&amp;IF(AND($U15="Sim",$E15=""),"empresa, ","")&amp;IF(AND($U15="Sim",$F15=""),"editor, ","")&amp;IF(AND($K15="Concluído",$N15=""),"data de conclusão, ","")&amp;IF(AND($K15="Concluído",$R15=""),"link, ","")&amp;IF(AND($K15="Concluído",$L15=""),"quem liberou, ",""))=0,"OK","Falta "&amp;LEFT(IF($J15="","título, ","")&amp;IF($C15="","responsável, ","")&amp;IF($D15="","tipo, ","")&amp;IF($I15="","canal, ","")&amp;IF($H15="","município, ","")&amp;IF(AND($U15="Sim",$E15=""),"empresa, ","")&amp;IF(AND($U15="Sim",$F15=""),"editor, ","")&amp;IF(AND($K15="Concluído",$N15=""),"data de conclusão, ","")&amp;IF(AND($K15="Concluído",$R15=""),"link, ","")&amp;IF(AND($K15="Concluído",$L15=""),"quem liberou, ",""),LEN(IF($J15="","título, ","")&amp;IF($C15="","responsável, ","")&amp;IF($D15="","tipo, ","")&amp;IF($I15="","canal, ","")&amp;IF($H15="","município, ","")&amp;IF(AND($U15="Sim",$E15=""),"empresa, ","")&amp;IF(AND($U15="Sim",$F15=""),"editor, ","")&amp;IF(AND($K15="Concluído",$N15=""),"data de conclusão, ","")&amp;IF(AND($K15="Concluído",$R15=""),"link, ","")&amp;IF(AND($K15="Concluído",$L15=""),"quem liberou, ",""))-2)))</f>
        <v/>
      </c>
      <c r="R15" s="38"/>
      <c r="S15" s="38"/>
      <c r="T15" s="38"/>
      <c r="U15" s="40" t="str">
        <f aca="false">IF($A15="","",IFERROR(INDEX(Listas!$E$5:$E$64,MATCH($D15,Listas!$C$5:$C$64,0)),"Não"))</f>
        <v/>
      </c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9" t="str">
        <f aca="false">IF(OR($A16="",$D16=""),"",$A16+IFERROR(INDEX(Listas!$D$5:$D$64,MATCH($D16,Listas!$C$5:$C$64,0)),3))</f>
        <v/>
      </c>
      <c r="N16" s="37"/>
      <c r="O16" s="40" t="str">
        <f aca="false">IF($A16="","",IF($K16="Concluído","Sim","Não"))</f>
        <v/>
      </c>
      <c r="P16" s="40" t="str">
        <f aca="true">IF($A16="","",IF($K16="Stand-by","Stand-by",IF($K16="Concluído","Concluída",IF(AND($M16&lt;&gt;"",$M16&lt;TODAY()),"Atrasada","Em dia"))))</f>
        <v/>
      </c>
      <c r="Q16" s="40" t="str">
        <f aca="false">IF($A16="","",IF(LEN(IF($J16="","título, ","")&amp;IF($C16="","responsável, ","")&amp;IF($D16="","tipo, ","")&amp;IF($I16="","canal, ","")&amp;IF($H16="","município, ","")&amp;IF(AND($U16="Sim",$E16=""),"empresa, ","")&amp;IF(AND($U16="Sim",$F16=""),"editor, ","")&amp;IF(AND($K16="Concluído",$N16=""),"data de conclusão, ","")&amp;IF(AND($K16="Concluído",$R16=""),"link, ","")&amp;IF(AND($K16="Concluído",$L16=""),"quem liberou, ",""))=0,"OK","Falta "&amp;LEFT(IF($J16="","título, ","")&amp;IF($C16="","responsável, ","")&amp;IF($D16="","tipo, ","")&amp;IF($I16="","canal, ","")&amp;IF($H16="","município, ","")&amp;IF(AND($U16="Sim",$E16=""),"empresa, ","")&amp;IF(AND($U16="Sim",$F16=""),"editor, ","")&amp;IF(AND($K16="Concluído",$N16=""),"data de conclusão, ","")&amp;IF(AND($K16="Concluído",$R16=""),"link, ","")&amp;IF(AND($K16="Concluído",$L16=""),"quem liberou, ",""),LEN(IF($J16="","título, ","")&amp;IF($C16="","responsável, ","")&amp;IF($D16="","tipo, ","")&amp;IF($I16="","canal, ","")&amp;IF($H16="","município, ","")&amp;IF(AND($U16="Sim",$E16=""),"empresa, ","")&amp;IF(AND($U16="Sim",$F16=""),"editor, ","")&amp;IF(AND($K16="Concluído",$N16=""),"data de conclusão, ","")&amp;IF(AND($K16="Concluído",$R16=""),"link, ","")&amp;IF(AND($K16="Concluído",$L16=""),"quem liberou, ",""))-2)))</f>
        <v/>
      </c>
      <c r="R16" s="38"/>
      <c r="S16" s="38"/>
      <c r="T16" s="38"/>
      <c r="U16" s="40" t="str">
        <f aca="false">IF($A16="","",IFERROR(INDEX(Listas!$E$5:$E$64,MATCH($D16,Listas!$C$5:$C$64,0)),"Não"))</f>
        <v/>
      </c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9" t="str">
        <f aca="false">IF(OR($A17="",$D17=""),"",$A17+IFERROR(INDEX(Listas!$D$5:$D$64,MATCH($D17,Listas!$C$5:$C$64,0)),3))</f>
        <v/>
      </c>
      <c r="N17" s="37"/>
      <c r="O17" s="40" t="str">
        <f aca="false">IF($A17="","",IF($K17="Concluído","Sim","Não"))</f>
        <v/>
      </c>
      <c r="P17" s="40" t="str">
        <f aca="true">IF($A17="","",IF($K17="Stand-by","Stand-by",IF($K17="Concluído","Concluída",IF(AND($M17&lt;&gt;"",$M17&lt;TODAY()),"Atrasada","Em dia"))))</f>
        <v/>
      </c>
      <c r="Q17" s="40" t="str">
        <f aca="false">IF($A17="","",IF(LEN(IF($J17="","título, ","")&amp;IF($C17="","responsável, ","")&amp;IF($D17="","tipo, ","")&amp;IF($I17="","canal, ","")&amp;IF($H17="","município, ","")&amp;IF(AND($U17="Sim",$E17=""),"empresa, ","")&amp;IF(AND($U17="Sim",$F17=""),"editor, ","")&amp;IF(AND($K17="Concluído",$N17=""),"data de conclusão, ","")&amp;IF(AND($K17="Concluído",$R17=""),"link, ","")&amp;IF(AND($K17="Concluído",$L17=""),"quem liberou, ",""))=0,"OK","Falta "&amp;LEFT(IF($J17="","título, ","")&amp;IF($C17="","responsável, ","")&amp;IF($D17="","tipo, ","")&amp;IF($I17="","canal, ","")&amp;IF($H17="","município, ","")&amp;IF(AND($U17="Sim",$E17=""),"empresa, ","")&amp;IF(AND($U17="Sim",$F17=""),"editor, ","")&amp;IF(AND($K17="Concluído",$N17=""),"data de conclusão, ","")&amp;IF(AND($K17="Concluído",$R17=""),"link, ","")&amp;IF(AND($K17="Concluído",$L17=""),"quem liberou, ",""),LEN(IF($J17="","título, ","")&amp;IF($C17="","responsável, ","")&amp;IF($D17="","tipo, ","")&amp;IF($I17="","canal, ","")&amp;IF($H17="","município, ","")&amp;IF(AND($U17="Sim",$E17=""),"empresa, ","")&amp;IF(AND($U17="Sim",$F17=""),"editor, ","")&amp;IF(AND($K17="Concluído",$N17=""),"data de conclusão, ","")&amp;IF(AND($K17="Concluído",$R17=""),"link, ","")&amp;IF(AND($K17="Concluído",$L17=""),"quem liberou, ",""))-2)))</f>
        <v/>
      </c>
      <c r="R17" s="38"/>
      <c r="S17" s="38"/>
      <c r="T17" s="38"/>
      <c r="U17" s="40" t="str">
        <f aca="false">IF($A17="","",IFERROR(INDEX(Listas!$E$5:$E$64,MATCH($D17,Listas!$C$5:$C$64,0)),"Não"))</f>
        <v/>
      </c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9" t="str">
        <f aca="false">IF(OR($A18="",$D18=""),"",$A18+IFERROR(INDEX(Listas!$D$5:$D$64,MATCH($D18,Listas!$C$5:$C$64,0)),3))</f>
        <v/>
      </c>
      <c r="N18" s="37"/>
      <c r="O18" s="40" t="str">
        <f aca="false">IF($A18="","",IF($K18="Concluído","Sim","Não"))</f>
        <v/>
      </c>
      <c r="P18" s="40" t="str">
        <f aca="true">IF($A18="","",IF($K18="Stand-by","Stand-by",IF($K18="Concluído","Concluída",IF(AND($M18&lt;&gt;"",$M18&lt;TODAY()),"Atrasada","Em dia"))))</f>
        <v/>
      </c>
      <c r="Q18" s="40" t="str">
        <f aca="false">IF($A18="","",IF(LEN(IF($J18="","título, ","")&amp;IF($C18="","responsável, ","")&amp;IF($D18="","tipo, ","")&amp;IF($I18="","canal, ","")&amp;IF($H18="","município, ","")&amp;IF(AND($U18="Sim",$E18=""),"empresa, ","")&amp;IF(AND($U18="Sim",$F18=""),"editor, ","")&amp;IF(AND($K18="Concluído",$N18=""),"data de conclusão, ","")&amp;IF(AND($K18="Concluído",$R18=""),"link, ","")&amp;IF(AND($K18="Concluído",$L18=""),"quem liberou, ",""))=0,"OK","Falta "&amp;LEFT(IF($J18="","título, ","")&amp;IF($C18="","responsável, ","")&amp;IF($D18="","tipo, ","")&amp;IF($I18="","canal, ","")&amp;IF($H18="","município, ","")&amp;IF(AND($U18="Sim",$E18=""),"empresa, ","")&amp;IF(AND($U18="Sim",$F18=""),"editor, ","")&amp;IF(AND($K18="Concluído",$N18=""),"data de conclusão, ","")&amp;IF(AND($K18="Concluído",$R18=""),"link, ","")&amp;IF(AND($K18="Concluído",$L18=""),"quem liberou, ",""),LEN(IF($J18="","título, ","")&amp;IF($C18="","responsável, ","")&amp;IF($D18="","tipo, ","")&amp;IF($I18="","canal, ","")&amp;IF($H18="","município, ","")&amp;IF(AND($U18="Sim",$E18=""),"empresa, ","")&amp;IF(AND($U18="Sim",$F18=""),"editor, ","")&amp;IF(AND($K18="Concluído",$N18=""),"data de conclusão, ","")&amp;IF(AND($K18="Concluído",$R18=""),"link, ","")&amp;IF(AND($K18="Concluído",$L18=""),"quem liberou, ",""))-2)))</f>
        <v/>
      </c>
      <c r="R18" s="38"/>
      <c r="S18" s="38"/>
      <c r="T18" s="38"/>
      <c r="U18" s="40" t="str">
        <f aca="false">IF($A18="","",IFERROR(INDEX(Listas!$E$5:$E$64,MATCH($D18,Listas!$C$5:$C$64,0)),"Não"))</f>
        <v/>
      </c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9" t="str">
        <f aca="false">IF(OR($A19="",$D19=""),"",$A19+IFERROR(INDEX(Listas!$D$5:$D$64,MATCH($D19,Listas!$C$5:$C$64,0)),3))</f>
        <v/>
      </c>
      <c r="N19" s="37"/>
      <c r="O19" s="40" t="str">
        <f aca="false">IF($A19="","",IF($K19="Concluído","Sim","Não"))</f>
        <v/>
      </c>
      <c r="P19" s="40" t="str">
        <f aca="true">IF($A19="","",IF($K19="Stand-by","Stand-by",IF($K19="Concluído","Concluída",IF(AND($M19&lt;&gt;"",$M19&lt;TODAY()),"Atrasada","Em dia"))))</f>
        <v/>
      </c>
      <c r="Q19" s="40" t="str">
        <f aca="false">IF($A19="","",IF(LEN(IF($J19="","título, ","")&amp;IF($C19="","responsável, ","")&amp;IF($D19="","tipo, ","")&amp;IF($I19="","canal, ","")&amp;IF($H19="","município, ","")&amp;IF(AND($U19="Sim",$E19=""),"empresa, ","")&amp;IF(AND($U19="Sim",$F19=""),"editor, ","")&amp;IF(AND($K19="Concluído",$N19=""),"data de conclusão, ","")&amp;IF(AND($K19="Concluído",$R19=""),"link, ","")&amp;IF(AND($K19="Concluído",$L19=""),"quem liberou, ",""))=0,"OK","Falta "&amp;LEFT(IF($J19="","título, ","")&amp;IF($C19="","responsável, ","")&amp;IF($D19="","tipo, ","")&amp;IF($I19="","canal, ","")&amp;IF($H19="","município, ","")&amp;IF(AND($U19="Sim",$E19=""),"empresa, ","")&amp;IF(AND($U19="Sim",$F19=""),"editor, ","")&amp;IF(AND($K19="Concluído",$N19=""),"data de conclusão, ","")&amp;IF(AND($K19="Concluído",$R19=""),"link, ","")&amp;IF(AND($K19="Concluído",$L19=""),"quem liberou, ",""),LEN(IF($J19="","título, ","")&amp;IF($C19="","responsável, ","")&amp;IF($D19="","tipo, ","")&amp;IF($I19="","canal, ","")&amp;IF($H19="","município, ","")&amp;IF(AND($U19="Sim",$E19=""),"empresa, ","")&amp;IF(AND($U19="Sim",$F19=""),"editor, ","")&amp;IF(AND($K19="Concluído",$N19=""),"data de conclusão, ","")&amp;IF(AND($K19="Concluído",$R19=""),"link, ","")&amp;IF(AND($K19="Concluído",$L19=""),"quem liberou, ",""))-2)))</f>
        <v/>
      </c>
      <c r="R19" s="38"/>
      <c r="S19" s="38"/>
      <c r="T19" s="38"/>
      <c r="U19" s="40" t="str">
        <f aca="false">IF($A19="","",IFERROR(INDEX(Listas!$E$5:$E$64,MATCH($D19,Listas!$C$5:$C$64,0)),"Não"))</f>
        <v/>
      </c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9" t="str">
        <f aca="false">IF(OR($A20="",$D20=""),"",$A20+IFERROR(INDEX(Listas!$D$5:$D$64,MATCH($D20,Listas!$C$5:$C$64,0)),3))</f>
        <v/>
      </c>
      <c r="N20" s="37"/>
      <c r="O20" s="40" t="str">
        <f aca="false">IF($A20="","",IF($K20="Concluído","Sim","Não"))</f>
        <v/>
      </c>
      <c r="P20" s="40" t="str">
        <f aca="true">IF($A20="","",IF($K20="Stand-by","Stand-by",IF($K20="Concluído","Concluída",IF(AND($M20&lt;&gt;"",$M20&lt;TODAY()),"Atrasada","Em dia"))))</f>
        <v/>
      </c>
      <c r="Q20" s="40" t="str">
        <f aca="false">IF($A20="","",IF(LEN(IF($J20="","título, ","")&amp;IF($C20="","responsável, ","")&amp;IF($D20="","tipo, ","")&amp;IF($I20="","canal, ","")&amp;IF($H20="","município, ","")&amp;IF(AND($U20="Sim",$E20=""),"empresa, ","")&amp;IF(AND($U20="Sim",$F20=""),"editor, ","")&amp;IF(AND($K20="Concluído",$N20=""),"data de conclusão, ","")&amp;IF(AND($K20="Concluído",$R20=""),"link, ","")&amp;IF(AND($K20="Concluído",$L20=""),"quem liberou, ",""))=0,"OK","Falta "&amp;LEFT(IF($J20="","título, ","")&amp;IF($C20="","responsável, ","")&amp;IF($D20="","tipo, ","")&amp;IF($I20="","canal, ","")&amp;IF($H20="","município, ","")&amp;IF(AND($U20="Sim",$E20=""),"empresa, ","")&amp;IF(AND($U20="Sim",$F20=""),"editor, ","")&amp;IF(AND($K20="Concluído",$N20=""),"data de conclusão, ","")&amp;IF(AND($K20="Concluído",$R20=""),"link, ","")&amp;IF(AND($K20="Concluído",$L20=""),"quem liberou, ",""),LEN(IF($J20="","título, ","")&amp;IF($C20="","responsável, ","")&amp;IF($D20="","tipo, ","")&amp;IF($I20="","canal, ","")&amp;IF($H20="","município, ","")&amp;IF(AND($U20="Sim",$E20=""),"empresa, ","")&amp;IF(AND($U20="Sim",$F20=""),"editor, ","")&amp;IF(AND($K20="Concluído",$N20=""),"data de conclusão, ","")&amp;IF(AND($K20="Concluído",$R20=""),"link, ","")&amp;IF(AND($K20="Concluído",$L20=""),"quem liberou, ",""))-2)))</f>
        <v/>
      </c>
      <c r="R20" s="38"/>
      <c r="S20" s="38"/>
      <c r="T20" s="38"/>
      <c r="U20" s="40" t="str">
        <f aca="false">IF($A20="","",IFERROR(INDEX(Listas!$E$5:$E$64,MATCH($D20,Listas!$C$5:$C$64,0)),"Não"))</f>
        <v/>
      </c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 t="str">
        <f aca="false">IF(OR($A21="",$D21=""),"",$A21+IFERROR(INDEX(Listas!$D$5:$D$64,MATCH($D21,Listas!$C$5:$C$64,0)),3))</f>
        <v/>
      </c>
      <c r="N21" s="37"/>
      <c r="O21" s="40" t="str">
        <f aca="false">IF($A21="","",IF($K21="Concluído","Sim","Não"))</f>
        <v/>
      </c>
      <c r="P21" s="40" t="str">
        <f aca="true">IF($A21="","",IF($K21="Stand-by","Stand-by",IF($K21="Concluído","Concluída",IF(AND($M21&lt;&gt;"",$M21&lt;TODAY()),"Atrasada","Em dia"))))</f>
        <v/>
      </c>
      <c r="Q21" s="40" t="str">
        <f aca="false">IF($A21="","",IF(LEN(IF($J21="","título, ","")&amp;IF($C21="","responsável, ","")&amp;IF($D21="","tipo, ","")&amp;IF($I21="","canal, ","")&amp;IF($H21="","município, ","")&amp;IF(AND($U21="Sim",$E21=""),"empresa, ","")&amp;IF(AND($U21="Sim",$F21=""),"editor, ","")&amp;IF(AND($K21="Concluído",$N21=""),"data de conclusão, ","")&amp;IF(AND($K21="Concluído",$R21=""),"link, ","")&amp;IF(AND($K21="Concluído",$L21=""),"quem liberou, ",""))=0,"OK","Falta "&amp;LEFT(IF($J21="","título, ","")&amp;IF($C21="","responsável, ","")&amp;IF($D21="","tipo, ","")&amp;IF($I21="","canal, ","")&amp;IF($H21="","município, ","")&amp;IF(AND($U21="Sim",$E21=""),"empresa, ","")&amp;IF(AND($U21="Sim",$F21=""),"editor, ","")&amp;IF(AND($K21="Concluído",$N21=""),"data de conclusão, ","")&amp;IF(AND($K21="Concluído",$R21=""),"link, ","")&amp;IF(AND($K21="Concluído",$L21=""),"quem liberou, ",""),LEN(IF($J21="","título, ","")&amp;IF($C21="","responsável, ","")&amp;IF($D21="","tipo, ","")&amp;IF($I21="","canal, ","")&amp;IF($H21="","município, ","")&amp;IF(AND($U21="Sim",$E21=""),"empresa, ","")&amp;IF(AND($U21="Sim",$F21=""),"editor, ","")&amp;IF(AND($K21="Concluído",$N21=""),"data de conclusão, ","")&amp;IF(AND($K21="Concluído",$R21=""),"link, ","")&amp;IF(AND($K21="Concluído",$L21=""),"quem liberou, ",""))-2)))</f>
        <v/>
      </c>
      <c r="R21" s="38"/>
      <c r="S21" s="38"/>
      <c r="T21" s="38"/>
      <c r="U21" s="40" t="str">
        <f aca="false">IF($A21="","",IFERROR(INDEX(Listas!$E$5:$E$64,MATCH($D21,Listas!$C$5:$C$64,0)),"Não"))</f>
        <v/>
      </c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9" t="str">
        <f aca="false">IF(OR($A22="",$D22=""),"",$A22+IFERROR(INDEX(Listas!$D$5:$D$64,MATCH($D22,Listas!$C$5:$C$64,0)),3))</f>
        <v/>
      </c>
      <c r="N22" s="37"/>
      <c r="O22" s="40" t="str">
        <f aca="false">IF($A22="","",IF($K22="Concluído","Sim","Não"))</f>
        <v/>
      </c>
      <c r="P22" s="40" t="str">
        <f aca="true">IF($A22="","",IF($K22="Stand-by","Stand-by",IF($K22="Concluído","Concluída",IF(AND($M22&lt;&gt;"",$M22&lt;TODAY()),"Atrasada","Em dia"))))</f>
        <v/>
      </c>
      <c r="Q22" s="40" t="str">
        <f aca="false">IF($A22="","",IF(LEN(IF($J22="","título, ","")&amp;IF($C22="","responsável, ","")&amp;IF($D22="","tipo, ","")&amp;IF($I22="","canal, ","")&amp;IF($H22="","município, ","")&amp;IF(AND($U22="Sim",$E22=""),"empresa, ","")&amp;IF(AND($U22="Sim",$F22=""),"editor, ","")&amp;IF(AND($K22="Concluído",$N22=""),"data de conclusão, ","")&amp;IF(AND($K22="Concluído",$R22=""),"link, ","")&amp;IF(AND($K22="Concluído",$L22=""),"quem liberou, ",""))=0,"OK","Falta "&amp;LEFT(IF($J22="","título, ","")&amp;IF($C22="","responsável, ","")&amp;IF($D22="","tipo, ","")&amp;IF($I22="","canal, ","")&amp;IF($H22="","município, ","")&amp;IF(AND($U22="Sim",$E22=""),"empresa, ","")&amp;IF(AND($U22="Sim",$F22=""),"editor, ","")&amp;IF(AND($K22="Concluído",$N22=""),"data de conclusão, ","")&amp;IF(AND($K22="Concluído",$R22=""),"link, ","")&amp;IF(AND($K22="Concluído",$L22=""),"quem liberou, ",""),LEN(IF($J22="","título, ","")&amp;IF($C22="","responsável, ","")&amp;IF($D22="","tipo, ","")&amp;IF($I22="","canal, ","")&amp;IF($H22="","município, ","")&amp;IF(AND($U22="Sim",$E22=""),"empresa, ","")&amp;IF(AND($U22="Sim",$F22=""),"editor, ","")&amp;IF(AND($K22="Concluído",$N22=""),"data de conclusão, ","")&amp;IF(AND($K22="Concluído",$R22=""),"link, ","")&amp;IF(AND($K22="Concluído",$L22=""),"quem liberou, ",""))-2)))</f>
        <v/>
      </c>
      <c r="R22" s="38"/>
      <c r="S22" s="38"/>
      <c r="T22" s="38"/>
      <c r="U22" s="40" t="str">
        <f aca="false">IF($A22="","",IFERROR(INDEX(Listas!$E$5:$E$64,MATCH($D22,Listas!$C$5:$C$64,0)),"Não"))</f>
        <v/>
      </c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9" t="str">
        <f aca="false">IF(OR($A23="",$D23=""),"",$A23+IFERROR(INDEX(Listas!$D$5:$D$64,MATCH($D23,Listas!$C$5:$C$64,0)),3))</f>
        <v/>
      </c>
      <c r="N23" s="37"/>
      <c r="O23" s="40" t="str">
        <f aca="false">IF($A23="","",IF($K23="Concluído","Sim","Não"))</f>
        <v/>
      </c>
      <c r="P23" s="40" t="str">
        <f aca="true">IF($A23="","",IF($K23="Stand-by","Stand-by",IF($K23="Concluído","Concluída",IF(AND($M23&lt;&gt;"",$M23&lt;TODAY()),"Atrasada","Em dia"))))</f>
        <v/>
      </c>
      <c r="Q23" s="40" t="str">
        <f aca="false">IF($A23="","",IF(LEN(IF($J23="","título, ","")&amp;IF($C23="","responsável, ","")&amp;IF($D23="","tipo, ","")&amp;IF($I23="","canal, ","")&amp;IF($H23="","município, ","")&amp;IF(AND($U23="Sim",$E23=""),"empresa, ","")&amp;IF(AND($U23="Sim",$F23=""),"editor, ","")&amp;IF(AND($K23="Concluído",$N23=""),"data de conclusão, ","")&amp;IF(AND($K23="Concluído",$R23=""),"link, ","")&amp;IF(AND($K23="Concluído",$L23=""),"quem liberou, ",""))=0,"OK","Falta "&amp;LEFT(IF($J23="","título, ","")&amp;IF($C23="","responsável, ","")&amp;IF($D23="","tipo, ","")&amp;IF($I23="","canal, ","")&amp;IF($H23="","município, ","")&amp;IF(AND($U23="Sim",$E23=""),"empresa, ","")&amp;IF(AND($U23="Sim",$F23=""),"editor, ","")&amp;IF(AND($K23="Concluído",$N23=""),"data de conclusão, ","")&amp;IF(AND($K23="Concluído",$R23=""),"link, ","")&amp;IF(AND($K23="Concluído",$L23=""),"quem liberou, ",""),LEN(IF($J23="","título, ","")&amp;IF($C23="","responsável, ","")&amp;IF($D23="","tipo, ","")&amp;IF($I23="","canal, ","")&amp;IF($H23="","município, ","")&amp;IF(AND($U23="Sim",$E23=""),"empresa, ","")&amp;IF(AND($U23="Sim",$F23=""),"editor, ","")&amp;IF(AND($K23="Concluído",$N23=""),"data de conclusão, ","")&amp;IF(AND($K23="Concluído",$R23=""),"link, ","")&amp;IF(AND($K23="Concluído",$L23=""),"quem liberou, ",""))-2)))</f>
        <v/>
      </c>
      <c r="R23" s="38"/>
      <c r="S23" s="38"/>
      <c r="T23" s="38"/>
      <c r="U23" s="40" t="str">
        <f aca="false">IF($A23="","",IFERROR(INDEX(Listas!$E$5:$E$64,MATCH($D23,Listas!$C$5:$C$64,0)),"Não"))</f>
        <v/>
      </c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9" t="str">
        <f aca="false">IF(OR($A24="",$D24=""),"",$A24+IFERROR(INDEX(Listas!$D$5:$D$64,MATCH($D24,Listas!$C$5:$C$64,0)),3))</f>
        <v/>
      </c>
      <c r="N24" s="37"/>
      <c r="O24" s="40" t="str">
        <f aca="false">IF($A24="","",IF($K24="Concluído","Sim","Não"))</f>
        <v/>
      </c>
      <c r="P24" s="40" t="str">
        <f aca="true">IF($A24="","",IF($K24="Stand-by","Stand-by",IF($K24="Concluído","Concluída",IF(AND($M24&lt;&gt;"",$M24&lt;TODAY()),"Atrasada","Em dia"))))</f>
        <v/>
      </c>
      <c r="Q24" s="40" t="str">
        <f aca="false">IF($A24="","",IF(LEN(IF($J24="","título, ","")&amp;IF($C24="","responsável, ","")&amp;IF($D24="","tipo, ","")&amp;IF($I24="","canal, ","")&amp;IF($H24="","município, ","")&amp;IF(AND($U24="Sim",$E24=""),"empresa, ","")&amp;IF(AND($U24="Sim",$F24=""),"editor, ","")&amp;IF(AND($K24="Concluído",$N24=""),"data de conclusão, ","")&amp;IF(AND($K24="Concluído",$R24=""),"link, ","")&amp;IF(AND($K24="Concluído",$L24=""),"quem liberou, ",""))=0,"OK","Falta "&amp;LEFT(IF($J24="","título, ","")&amp;IF($C24="","responsável, ","")&amp;IF($D24="","tipo, ","")&amp;IF($I24="","canal, ","")&amp;IF($H24="","município, ","")&amp;IF(AND($U24="Sim",$E24=""),"empresa, ","")&amp;IF(AND($U24="Sim",$F24=""),"editor, ","")&amp;IF(AND($K24="Concluído",$N24=""),"data de conclusão, ","")&amp;IF(AND($K24="Concluído",$R24=""),"link, ","")&amp;IF(AND($K24="Concluído",$L24=""),"quem liberou, ",""),LEN(IF($J24="","título, ","")&amp;IF($C24="","responsável, ","")&amp;IF($D24="","tipo, ","")&amp;IF($I24="","canal, ","")&amp;IF($H24="","município, ","")&amp;IF(AND($U24="Sim",$E24=""),"empresa, ","")&amp;IF(AND($U24="Sim",$F24=""),"editor, ","")&amp;IF(AND($K24="Concluído",$N24=""),"data de conclusão, ","")&amp;IF(AND($K24="Concluído",$R24=""),"link, ","")&amp;IF(AND($K24="Concluído",$L24=""),"quem liberou, ",""))-2)))</f>
        <v/>
      </c>
      <c r="R24" s="38"/>
      <c r="S24" s="38"/>
      <c r="T24" s="38"/>
      <c r="U24" s="40" t="str">
        <f aca="false">IF($A24="","",IFERROR(INDEX(Listas!$E$5:$E$64,MATCH($D24,Listas!$C$5:$C$64,0)),"Não"))</f>
        <v/>
      </c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 t="str">
        <f aca="false">IF(OR($A25="",$D25=""),"",$A25+IFERROR(INDEX(Listas!$D$5:$D$64,MATCH($D25,Listas!$C$5:$C$64,0)),3))</f>
        <v/>
      </c>
      <c r="N25" s="37"/>
      <c r="O25" s="40" t="str">
        <f aca="false">IF($A25="","",IF($K25="Concluído","Sim","Não"))</f>
        <v/>
      </c>
      <c r="P25" s="40" t="str">
        <f aca="true">IF($A25="","",IF($K25="Stand-by","Stand-by",IF($K25="Concluído","Concluída",IF(AND($M25&lt;&gt;"",$M25&lt;TODAY()),"Atrasada","Em dia"))))</f>
        <v/>
      </c>
      <c r="Q25" s="40" t="str">
        <f aca="false">IF($A25="","",IF(LEN(IF($J25="","título, ","")&amp;IF($C25="","responsável, ","")&amp;IF($D25="","tipo, ","")&amp;IF($I25="","canal, ","")&amp;IF($H25="","município, ","")&amp;IF(AND($U25="Sim",$E25=""),"empresa, ","")&amp;IF(AND($U25="Sim",$F25=""),"editor, ","")&amp;IF(AND($K25="Concluído",$N25=""),"data de conclusão, ","")&amp;IF(AND($K25="Concluído",$R25=""),"link, ","")&amp;IF(AND($K25="Concluído",$L25=""),"quem liberou, ",""))=0,"OK","Falta "&amp;LEFT(IF($J25="","título, ","")&amp;IF($C25="","responsável, ","")&amp;IF($D25="","tipo, ","")&amp;IF($I25="","canal, ","")&amp;IF($H25="","município, ","")&amp;IF(AND($U25="Sim",$E25=""),"empresa, ","")&amp;IF(AND($U25="Sim",$F25=""),"editor, ","")&amp;IF(AND($K25="Concluído",$N25=""),"data de conclusão, ","")&amp;IF(AND($K25="Concluído",$R25=""),"link, ","")&amp;IF(AND($K25="Concluído",$L25=""),"quem liberou, ",""),LEN(IF($J25="","título, ","")&amp;IF($C25="","responsável, ","")&amp;IF($D25="","tipo, ","")&amp;IF($I25="","canal, ","")&amp;IF($H25="","município, ","")&amp;IF(AND($U25="Sim",$E25=""),"empresa, ","")&amp;IF(AND($U25="Sim",$F25=""),"editor, ","")&amp;IF(AND($K25="Concluído",$N25=""),"data de conclusão, ","")&amp;IF(AND($K25="Concluído",$R25=""),"link, ","")&amp;IF(AND($K25="Concluído",$L25=""),"quem liberou, ",""))-2)))</f>
        <v/>
      </c>
      <c r="R25" s="38"/>
      <c r="S25" s="38"/>
      <c r="T25" s="38"/>
      <c r="U25" s="40" t="str">
        <f aca="false">IF($A25="","",IFERROR(INDEX(Listas!$E$5:$E$64,MATCH($D25,Listas!$C$5:$C$64,0)),"Não"))</f>
        <v/>
      </c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9" t="str">
        <f aca="false">IF(OR($A26="",$D26=""),"",$A26+IFERROR(INDEX(Listas!$D$5:$D$64,MATCH($D26,Listas!$C$5:$C$64,0)),3))</f>
        <v/>
      </c>
      <c r="N26" s="37"/>
      <c r="O26" s="40" t="str">
        <f aca="false">IF($A26="","",IF($K26="Concluído","Sim","Não"))</f>
        <v/>
      </c>
      <c r="P26" s="40" t="str">
        <f aca="true">IF($A26="","",IF($K26="Stand-by","Stand-by",IF($K26="Concluído","Concluída",IF(AND($M26&lt;&gt;"",$M26&lt;TODAY()),"Atrasada","Em dia"))))</f>
        <v/>
      </c>
      <c r="Q26" s="40" t="str">
        <f aca="false">IF($A26="","",IF(LEN(IF($J26="","título, ","")&amp;IF($C26="","responsável, ","")&amp;IF($D26="","tipo, ","")&amp;IF($I26="","canal, ","")&amp;IF($H26="","município, ","")&amp;IF(AND($U26="Sim",$E26=""),"empresa, ","")&amp;IF(AND($U26="Sim",$F26=""),"editor, ","")&amp;IF(AND($K26="Concluído",$N26=""),"data de conclusão, ","")&amp;IF(AND($K26="Concluído",$R26=""),"link, ","")&amp;IF(AND($K26="Concluído",$L26=""),"quem liberou, ",""))=0,"OK","Falta "&amp;LEFT(IF($J26="","título, ","")&amp;IF($C26="","responsável, ","")&amp;IF($D26="","tipo, ","")&amp;IF($I26="","canal, ","")&amp;IF($H26="","município, ","")&amp;IF(AND($U26="Sim",$E26=""),"empresa, ","")&amp;IF(AND($U26="Sim",$F26=""),"editor, ","")&amp;IF(AND($K26="Concluído",$N26=""),"data de conclusão, ","")&amp;IF(AND($K26="Concluído",$R26=""),"link, ","")&amp;IF(AND($K26="Concluído",$L26=""),"quem liberou, ",""),LEN(IF($J26="","título, ","")&amp;IF($C26="","responsável, ","")&amp;IF($D26="","tipo, ","")&amp;IF($I26="","canal, ","")&amp;IF($H26="","município, ","")&amp;IF(AND($U26="Sim",$E26=""),"empresa, ","")&amp;IF(AND($U26="Sim",$F26=""),"editor, ","")&amp;IF(AND($K26="Concluído",$N26=""),"data de conclusão, ","")&amp;IF(AND($K26="Concluído",$R26=""),"link, ","")&amp;IF(AND($K26="Concluído",$L26=""),"quem liberou, ",""))-2)))</f>
        <v/>
      </c>
      <c r="R26" s="38"/>
      <c r="S26" s="38"/>
      <c r="T26" s="38"/>
      <c r="U26" s="40" t="str">
        <f aca="false">IF($A26="","",IFERROR(INDEX(Listas!$E$5:$E$64,MATCH($D26,Listas!$C$5:$C$64,0)),"Não"))</f>
        <v/>
      </c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9" t="str">
        <f aca="false">IF(OR($A27="",$D27=""),"",$A27+IFERROR(INDEX(Listas!$D$5:$D$64,MATCH($D27,Listas!$C$5:$C$64,0)),3))</f>
        <v/>
      </c>
      <c r="N27" s="37"/>
      <c r="O27" s="40" t="str">
        <f aca="false">IF($A27="","",IF($K27="Concluído","Sim","Não"))</f>
        <v/>
      </c>
      <c r="P27" s="40" t="str">
        <f aca="true">IF($A27="","",IF($K27="Stand-by","Stand-by",IF($K27="Concluído","Concluída",IF(AND($M27&lt;&gt;"",$M27&lt;TODAY()),"Atrasada","Em dia"))))</f>
        <v/>
      </c>
      <c r="Q27" s="40" t="str">
        <f aca="false">IF($A27="","",IF(LEN(IF($J27="","título, ","")&amp;IF($C27="","responsável, ","")&amp;IF($D27="","tipo, ","")&amp;IF($I27="","canal, ","")&amp;IF($H27="","município, ","")&amp;IF(AND($U27="Sim",$E27=""),"empresa, ","")&amp;IF(AND($U27="Sim",$F27=""),"editor, ","")&amp;IF(AND($K27="Concluído",$N27=""),"data de conclusão, ","")&amp;IF(AND($K27="Concluído",$R27=""),"link, ","")&amp;IF(AND($K27="Concluído",$L27=""),"quem liberou, ",""))=0,"OK","Falta "&amp;LEFT(IF($J27="","título, ","")&amp;IF($C27="","responsável, ","")&amp;IF($D27="","tipo, ","")&amp;IF($I27="","canal, ","")&amp;IF($H27="","município, ","")&amp;IF(AND($U27="Sim",$E27=""),"empresa, ","")&amp;IF(AND($U27="Sim",$F27=""),"editor, ","")&amp;IF(AND($K27="Concluído",$N27=""),"data de conclusão, ","")&amp;IF(AND($K27="Concluído",$R27=""),"link, ","")&amp;IF(AND($K27="Concluído",$L27=""),"quem liberou, ",""),LEN(IF($J27="","título, ","")&amp;IF($C27="","responsável, ","")&amp;IF($D27="","tipo, ","")&amp;IF($I27="","canal, ","")&amp;IF($H27="","município, ","")&amp;IF(AND($U27="Sim",$E27=""),"empresa, ","")&amp;IF(AND($U27="Sim",$F27=""),"editor, ","")&amp;IF(AND($K27="Concluído",$N27=""),"data de conclusão, ","")&amp;IF(AND($K27="Concluído",$R27=""),"link, ","")&amp;IF(AND($K27="Concluído",$L27=""),"quem liberou, ",""))-2)))</f>
        <v/>
      </c>
      <c r="R27" s="38"/>
      <c r="S27" s="38"/>
      <c r="T27" s="38"/>
      <c r="U27" s="40" t="str">
        <f aca="false">IF($A27="","",IFERROR(INDEX(Listas!$E$5:$E$64,MATCH($D27,Listas!$C$5:$C$64,0)),"Não"))</f>
        <v/>
      </c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9" t="str">
        <f aca="false">IF(OR($A28="",$D28=""),"",$A28+IFERROR(INDEX(Listas!$D$5:$D$64,MATCH($D28,Listas!$C$5:$C$64,0)),3))</f>
        <v/>
      </c>
      <c r="N28" s="37"/>
      <c r="O28" s="40" t="str">
        <f aca="false">IF($A28="","",IF($K28="Concluído","Sim","Não"))</f>
        <v/>
      </c>
      <c r="P28" s="40" t="str">
        <f aca="true">IF($A28="","",IF($K28="Stand-by","Stand-by",IF($K28="Concluído","Concluída",IF(AND($M28&lt;&gt;"",$M28&lt;TODAY()),"Atrasada","Em dia"))))</f>
        <v/>
      </c>
      <c r="Q28" s="40" t="str">
        <f aca="false">IF($A28="","",IF(LEN(IF($J28="","título, ","")&amp;IF($C28="","responsável, ","")&amp;IF($D28="","tipo, ","")&amp;IF($I28="","canal, ","")&amp;IF($H28="","município, ","")&amp;IF(AND($U28="Sim",$E28=""),"empresa, ","")&amp;IF(AND($U28="Sim",$F28=""),"editor, ","")&amp;IF(AND($K28="Concluído",$N28=""),"data de conclusão, ","")&amp;IF(AND($K28="Concluído",$R28=""),"link, ","")&amp;IF(AND($K28="Concluído",$L28=""),"quem liberou, ",""))=0,"OK","Falta "&amp;LEFT(IF($J28="","título, ","")&amp;IF($C28="","responsável, ","")&amp;IF($D28="","tipo, ","")&amp;IF($I28="","canal, ","")&amp;IF($H28="","município, ","")&amp;IF(AND($U28="Sim",$E28=""),"empresa, ","")&amp;IF(AND($U28="Sim",$F28=""),"editor, ","")&amp;IF(AND($K28="Concluído",$N28=""),"data de conclusão, ","")&amp;IF(AND($K28="Concluído",$R28=""),"link, ","")&amp;IF(AND($K28="Concluído",$L28=""),"quem liberou, ",""),LEN(IF($J28="","título, ","")&amp;IF($C28="","responsável, ","")&amp;IF($D28="","tipo, ","")&amp;IF($I28="","canal, ","")&amp;IF($H28="","município, ","")&amp;IF(AND($U28="Sim",$E28=""),"empresa, ","")&amp;IF(AND($U28="Sim",$F28=""),"editor, ","")&amp;IF(AND($K28="Concluído",$N28=""),"data de conclusão, ","")&amp;IF(AND($K28="Concluído",$R28=""),"link, ","")&amp;IF(AND($K28="Concluído",$L28=""),"quem liberou, ",""))-2)))</f>
        <v/>
      </c>
      <c r="R28" s="38"/>
      <c r="S28" s="38"/>
      <c r="T28" s="38"/>
      <c r="U28" s="40" t="str">
        <f aca="false">IF($A28="","",IFERROR(INDEX(Listas!$E$5:$E$64,MATCH($D28,Listas!$C$5:$C$64,0)),"Não"))</f>
        <v/>
      </c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9" t="str">
        <f aca="false">IF(OR($A29="",$D29=""),"",$A29+IFERROR(INDEX(Listas!$D$5:$D$64,MATCH($D29,Listas!$C$5:$C$64,0)),3))</f>
        <v/>
      </c>
      <c r="N29" s="37"/>
      <c r="O29" s="40" t="str">
        <f aca="false">IF($A29="","",IF($K29="Concluído","Sim","Não"))</f>
        <v/>
      </c>
      <c r="P29" s="40" t="str">
        <f aca="true">IF($A29="","",IF($K29="Stand-by","Stand-by",IF($K29="Concluído","Concluída",IF(AND($M29&lt;&gt;"",$M29&lt;TODAY()),"Atrasada","Em dia"))))</f>
        <v/>
      </c>
      <c r="Q29" s="40" t="str">
        <f aca="false">IF($A29="","",IF(LEN(IF($J29="","título, ","")&amp;IF($C29="","responsável, ","")&amp;IF($D29="","tipo, ","")&amp;IF($I29="","canal, ","")&amp;IF($H29="","município, ","")&amp;IF(AND($U29="Sim",$E29=""),"empresa, ","")&amp;IF(AND($U29="Sim",$F29=""),"editor, ","")&amp;IF(AND($K29="Concluído",$N29=""),"data de conclusão, ","")&amp;IF(AND($K29="Concluído",$R29=""),"link, ","")&amp;IF(AND($K29="Concluído",$L29=""),"quem liberou, ",""))=0,"OK","Falta "&amp;LEFT(IF($J29="","título, ","")&amp;IF($C29="","responsável, ","")&amp;IF($D29="","tipo, ","")&amp;IF($I29="","canal, ","")&amp;IF($H29="","município, ","")&amp;IF(AND($U29="Sim",$E29=""),"empresa, ","")&amp;IF(AND($U29="Sim",$F29=""),"editor, ","")&amp;IF(AND($K29="Concluído",$N29=""),"data de conclusão, ","")&amp;IF(AND($K29="Concluído",$R29=""),"link, ","")&amp;IF(AND($K29="Concluído",$L29=""),"quem liberou, ",""),LEN(IF($J29="","título, ","")&amp;IF($C29="","responsável, ","")&amp;IF($D29="","tipo, ","")&amp;IF($I29="","canal, ","")&amp;IF($H29="","município, ","")&amp;IF(AND($U29="Sim",$E29=""),"empresa, ","")&amp;IF(AND($U29="Sim",$F29=""),"editor, ","")&amp;IF(AND($K29="Concluído",$N29=""),"data de conclusão, ","")&amp;IF(AND($K29="Concluído",$R29=""),"link, ","")&amp;IF(AND($K29="Concluído",$L29=""),"quem liberou, ",""))-2)))</f>
        <v/>
      </c>
      <c r="R29" s="38"/>
      <c r="S29" s="38"/>
      <c r="T29" s="38"/>
      <c r="U29" s="40" t="str">
        <f aca="false">IF($A29="","",IFERROR(INDEX(Listas!$E$5:$E$64,MATCH($D29,Listas!$C$5:$C$64,0)),"Não"))</f>
        <v/>
      </c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9" t="str">
        <f aca="false">IF(OR($A30="",$D30=""),"",$A30+IFERROR(INDEX(Listas!$D$5:$D$64,MATCH($D30,Listas!$C$5:$C$64,0)),3))</f>
        <v/>
      </c>
      <c r="N30" s="37"/>
      <c r="O30" s="40" t="str">
        <f aca="false">IF($A30="","",IF($K30="Concluído","Sim","Não"))</f>
        <v/>
      </c>
      <c r="P30" s="40" t="str">
        <f aca="true">IF($A30="","",IF($K30="Stand-by","Stand-by",IF($K30="Concluído","Concluída",IF(AND($M30&lt;&gt;"",$M30&lt;TODAY()),"Atrasada","Em dia"))))</f>
        <v/>
      </c>
      <c r="Q30" s="40" t="str">
        <f aca="false">IF($A30="","",IF(LEN(IF($J30="","título, ","")&amp;IF($C30="","responsável, ","")&amp;IF($D30="","tipo, ","")&amp;IF($I30="","canal, ","")&amp;IF($H30="","município, ","")&amp;IF(AND($U30="Sim",$E30=""),"empresa, ","")&amp;IF(AND($U30="Sim",$F30=""),"editor, ","")&amp;IF(AND($K30="Concluído",$N30=""),"data de conclusão, ","")&amp;IF(AND($K30="Concluído",$R30=""),"link, ","")&amp;IF(AND($K30="Concluído",$L30=""),"quem liberou, ",""))=0,"OK","Falta "&amp;LEFT(IF($J30="","título, ","")&amp;IF($C30="","responsável, ","")&amp;IF($D30="","tipo, ","")&amp;IF($I30="","canal, ","")&amp;IF($H30="","município, ","")&amp;IF(AND($U30="Sim",$E30=""),"empresa, ","")&amp;IF(AND($U30="Sim",$F30=""),"editor, ","")&amp;IF(AND($K30="Concluído",$N30=""),"data de conclusão, ","")&amp;IF(AND($K30="Concluído",$R30=""),"link, ","")&amp;IF(AND($K30="Concluído",$L30=""),"quem liberou, ",""),LEN(IF($J30="","título, ","")&amp;IF($C30="","responsável, ","")&amp;IF($D30="","tipo, ","")&amp;IF($I30="","canal, ","")&amp;IF($H30="","município, ","")&amp;IF(AND($U30="Sim",$E30=""),"empresa, ","")&amp;IF(AND($U30="Sim",$F30=""),"editor, ","")&amp;IF(AND($K30="Concluído",$N30=""),"data de conclusão, ","")&amp;IF(AND($K30="Concluído",$R30=""),"link, ","")&amp;IF(AND($K30="Concluído",$L30=""),"quem liberou, ",""))-2)))</f>
        <v/>
      </c>
      <c r="R30" s="38"/>
      <c r="S30" s="38"/>
      <c r="T30" s="38"/>
      <c r="U30" s="40" t="str">
        <f aca="false">IF($A30="","",IFERROR(INDEX(Listas!$E$5:$E$64,MATCH($D30,Listas!$C$5:$C$64,0)),"Não"))</f>
        <v/>
      </c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9" t="str">
        <f aca="false">IF(OR($A31="",$D31=""),"",$A31+IFERROR(INDEX(Listas!$D$5:$D$64,MATCH($D31,Listas!$C$5:$C$64,0)),3))</f>
        <v/>
      </c>
      <c r="N31" s="37"/>
      <c r="O31" s="40" t="str">
        <f aca="false">IF($A31="","",IF($K31="Concluído","Sim","Não"))</f>
        <v/>
      </c>
      <c r="P31" s="40" t="str">
        <f aca="true">IF($A31="","",IF($K31="Stand-by","Stand-by",IF($K31="Concluído","Concluída",IF(AND($M31&lt;&gt;"",$M31&lt;TODAY()),"Atrasada","Em dia"))))</f>
        <v/>
      </c>
      <c r="Q31" s="40" t="str">
        <f aca="false">IF($A31="","",IF(LEN(IF($J31="","título, ","")&amp;IF($C31="","responsável, ","")&amp;IF($D31="","tipo, ","")&amp;IF($I31="","canal, ","")&amp;IF($H31="","município, ","")&amp;IF(AND($U31="Sim",$E31=""),"empresa, ","")&amp;IF(AND($U31="Sim",$F31=""),"editor, ","")&amp;IF(AND($K31="Concluído",$N31=""),"data de conclusão, ","")&amp;IF(AND($K31="Concluído",$R31=""),"link, ","")&amp;IF(AND($K31="Concluído",$L31=""),"quem liberou, ",""))=0,"OK","Falta "&amp;LEFT(IF($J31="","título, ","")&amp;IF($C31="","responsável, ","")&amp;IF($D31="","tipo, ","")&amp;IF($I31="","canal, ","")&amp;IF($H31="","município, ","")&amp;IF(AND($U31="Sim",$E31=""),"empresa, ","")&amp;IF(AND($U31="Sim",$F31=""),"editor, ","")&amp;IF(AND($K31="Concluído",$N31=""),"data de conclusão, ","")&amp;IF(AND($K31="Concluído",$R31=""),"link, ","")&amp;IF(AND($K31="Concluído",$L31=""),"quem liberou, ",""),LEN(IF($J31="","título, ","")&amp;IF($C31="","responsável, ","")&amp;IF($D31="","tipo, ","")&amp;IF($I31="","canal, ","")&amp;IF($H31="","município, ","")&amp;IF(AND($U31="Sim",$E31=""),"empresa, ","")&amp;IF(AND($U31="Sim",$F31=""),"editor, ","")&amp;IF(AND($K31="Concluído",$N31=""),"data de conclusão, ","")&amp;IF(AND($K31="Concluído",$R31=""),"link, ","")&amp;IF(AND($K31="Concluído",$L31=""),"quem liberou, ",""))-2)))</f>
        <v/>
      </c>
      <c r="R31" s="38"/>
      <c r="S31" s="38"/>
      <c r="T31" s="38"/>
      <c r="U31" s="40" t="str">
        <f aca="false">IF($A31="","",IFERROR(INDEX(Listas!$E$5:$E$64,MATCH($D31,Listas!$C$5:$C$64,0)),"Não"))</f>
        <v/>
      </c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9" t="str">
        <f aca="false">IF(OR($A32="",$D32=""),"",$A32+IFERROR(INDEX(Listas!$D$5:$D$64,MATCH($D32,Listas!$C$5:$C$64,0)),3))</f>
        <v/>
      </c>
      <c r="N32" s="37"/>
      <c r="O32" s="40" t="str">
        <f aca="false">IF($A32="","",IF($K32="Concluído","Sim","Não"))</f>
        <v/>
      </c>
      <c r="P32" s="40" t="str">
        <f aca="true">IF($A32="","",IF($K32="Stand-by","Stand-by",IF($K32="Concluído","Concluída",IF(AND($M32&lt;&gt;"",$M32&lt;TODAY()),"Atrasada","Em dia"))))</f>
        <v/>
      </c>
      <c r="Q32" s="40" t="str">
        <f aca="false">IF($A32="","",IF(LEN(IF($J32="","título, ","")&amp;IF($C32="","responsável, ","")&amp;IF($D32="","tipo, ","")&amp;IF($I32="","canal, ","")&amp;IF($H32="","município, ","")&amp;IF(AND($U32="Sim",$E32=""),"empresa, ","")&amp;IF(AND($U32="Sim",$F32=""),"editor, ","")&amp;IF(AND($K32="Concluído",$N32=""),"data de conclusão, ","")&amp;IF(AND($K32="Concluído",$R32=""),"link, ","")&amp;IF(AND($K32="Concluído",$L32=""),"quem liberou, ",""))=0,"OK","Falta "&amp;LEFT(IF($J32="","título, ","")&amp;IF($C32="","responsável, ","")&amp;IF($D32="","tipo, ","")&amp;IF($I32="","canal, ","")&amp;IF($H32="","município, ","")&amp;IF(AND($U32="Sim",$E32=""),"empresa, ","")&amp;IF(AND($U32="Sim",$F32=""),"editor, ","")&amp;IF(AND($K32="Concluído",$N32=""),"data de conclusão, ","")&amp;IF(AND($K32="Concluído",$R32=""),"link, ","")&amp;IF(AND($K32="Concluído",$L32=""),"quem liberou, ",""),LEN(IF($J32="","título, ","")&amp;IF($C32="","responsável, ","")&amp;IF($D32="","tipo, ","")&amp;IF($I32="","canal, ","")&amp;IF($H32="","município, ","")&amp;IF(AND($U32="Sim",$E32=""),"empresa, ","")&amp;IF(AND($U32="Sim",$F32=""),"editor, ","")&amp;IF(AND($K32="Concluído",$N32=""),"data de conclusão, ","")&amp;IF(AND($K32="Concluído",$R32=""),"link, ","")&amp;IF(AND($K32="Concluído",$L32=""),"quem liberou, ",""))-2)))</f>
        <v/>
      </c>
      <c r="R32" s="38"/>
      <c r="S32" s="38"/>
      <c r="T32" s="38"/>
      <c r="U32" s="40" t="str">
        <f aca="false">IF($A32="","",IFERROR(INDEX(Listas!$E$5:$E$64,MATCH($D32,Listas!$C$5:$C$64,0)),"Não"))</f>
        <v/>
      </c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9" t="str">
        <f aca="false">IF(OR($A33="",$D33=""),"",$A33+IFERROR(INDEX(Listas!$D$5:$D$64,MATCH($D33,Listas!$C$5:$C$64,0)),3))</f>
        <v/>
      </c>
      <c r="N33" s="37"/>
      <c r="O33" s="40" t="str">
        <f aca="false">IF($A33="","",IF($K33="Concluído","Sim","Não"))</f>
        <v/>
      </c>
      <c r="P33" s="40" t="str">
        <f aca="true">IF($A33="","",IF($K33="Stand-by","Stand-by",IF($K33="Concluído","Concluída",IF(AND($M33&lt;&gt;"",$M33&lt;TODAY()),"Atrasada","Em dia"))))</f>
        <v/>
      </c>
      <c r="Q33" s="40" t="str">
        <f aca="false">IF($A33="","",IF(LEN(IF($J33="","título, ","")&amp;IF($C33="","responsável, ","")&amp;IF($D33="","tipo, ","")&amp;IF($I33="","canal, ","")&amp;IF($H33="","município, ","")&amp;IF(AND($U33="Sim",$E33=""),"empresa, ","")&amp;IF(AND($U33="Sim",$F33=""),"editor, ","")&amp;IF(AND($K33="Concluído",$N33=""),"data de conclusão, ","")&amp;IF(AND($K33="Concluído",$R33=""),"link, ","")&amp;IF(AND($K33="Concluído",$L33=""),"quem liberou, ",""))=0,"OK","Falta "&amp;LEFT(IF($J33="","título, ","")&amp;IF($C33="","responsável, ","")&amp;IF($D33="","tipo, ","")&amp;IF($I33="","canal, ","")&amp;IF($H33="","município, ","")&amp;IF(AND($U33="Sim",$E33=""),"empresa, ","")&amp;IF(AND($U33="Sim",$F33=""),"editor, ","")&amp;IF(AND($K33="Concluído",$N33=""),"data de conclusão, ","")&amp;IF(AND($K33="Concluído",$R33=""),"link, ","")&amp;IF(AND($K33="Concluído",$L33=""),"quem liberou, ",""),LEN(IF($J33="","título, ","")&amp;IF($C33="","responsável, ","")&amp;IF($D33="","tipo, ","")&amp;IF($I33="","canal, ","")&amp;IF($H33="","município, ","")&amp;IF(AND($U33="Sim",$E33=""),"empresa, ","")&amp;IF(AND($U33="Sim",$F33=""),"editor, ","")&amp;IF(AND($K33="Concluído",$N33=""),"data de conclusão, ","")&amp;IF(AND($K33="Concluído",$R33=""),"link, ","")&amp;IF(AND($K33="Concluído",$L33=""),"quem liberou, ",""))-2)))</f>
        <v/>
      </c>
      <c r="R33" s="38"/>
      <c r="S33" s="38"/>
      <c r="T33" s="38"/>
      <c r="U33" s="40" t="str">
        <f aca="false">IF($A33="","",IFERROR(INDEX(Listas!$E$5:$E$64,MATCH($D33,Listas!$C$5:$C$64,0)),"Não"))</f>
        <v/>
      </c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9" t="str">
        <f aca="false">IF(OR($A34="",$D34=""),"",$A34+IFERROR(INDEX(Listas!$D$5:$D$64,MATCH($D34,Listas!$C$5:$C$64,0)),3))</f>
        <v/>
      </c>
      <c r="N34" s="37"/>
      <c r="O34" s="40" t="str">
        <f aca="false">IF($A34="","",IF($K34="Concluído","Sim","Não"))</f>
        <v/>
      </c>
      <c r="P34" s="40" t="str">
        <f aca="true">IF($A34="","",IF($K34="Stand-by","Stand-by",IF($K34="Concluído","Concluída",IF(AND($M34&lt;&gt;"",$M34&lt;TODAY()),"Atrasada","Em dia"))))</f>
        <v/>
      </c>
      <c r="Q34" s="40" t="str">
        <f aca="false">IF($A34="","",IF(LEN(IF($J34="","título, ","")&amp;IF($C34="","responsável, ","")&amp;IF($D34="","tipo, ","")&amp;IF($I34="","canal, ","")&amp;IF($H34="","município, ","")&amp;IF(AND($U34="Sim",$E34=""),"empresa, ","")&amp;IF(AND($U34="Sim",$F34=""),"editor, ","")&amp;IF(AND($K34="Concluído",$N34=""),"data de conclusão, ","")&amp;IF(AND($K34="Concluído",$R34=""),"link, ","")&amp;IF(AND($K34="Concluído",$L34=""),"quem liberou, ",""))=0,"OK","Falta "&amp;LEFT(IF($J34="","título, ","")&amp;IF($C34="","responsável, ","")&amp;IF($D34="","tipo, ","")&amp;IF($I34="","canal, ","")&amp;IF($H34="","município, ","")&amp;IF(AND($U34="Sim",$E34=""),"empresa, ","")&amp;IF(AND($U34="Sim",$F34=""),"editor, ","")&amp;IF(AND($K34="Concluído",$N34=""),"data de conclusão, ","")&amp;IF(AND($K34="Concluído",$R34=""),"link, ","")&amp;IF(AND($K34="Concluído",$L34=""),"quem liberou, ",""),LEN(IF($J34="","título, ","")&amp;IF($C34="","responsável, ","")&amp;IF($D34="","tipo, ","")&amp;IF($I34="","canal, ","")&amp;IF($H34="","município, ","")&amp;IF(AND($U34="Sim",$E34=""),"empresa, ","")&amp;IF(AND($U34="Sim",$F34=""),"editor, ","")&amp;IF(AND($K34="Concluído",$N34=""),"data de conclusão, ","")&amp;IF(AND($K34="Concluído",$R34=""),"link, ","")&amp;IF(AND($K34="Concluído",$L34=""),"quem liberou, ",""))-2)))</f>
        <v/>
      </c>
      <c r="R34" s="38"/>
      <c r="S34" s="38"/>
      <c r="T34" s="38"/>
      <c r="U34" s="40" t="str">
        <f aca="false">IF($A34="","",IFERROR(INDEX(Listas!$E$5:$E$64,MATCH($D34,Listas!$C$5:$C$64,0)),"Não"))</f>
        <v/>
      </c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9" t="str">
        <f aca="false">IF(OR($A35="",$D35=""),"",$A35+IFERROR(INDEX(Listas!$D$5:$D$64,MATCH($D35,Listas!$C$5:$C$64,0)),3))</f>
        <v/>
      </c>
      <c r="N35" s="37"/>
      <c r="O35" s="40" t="str">
        <f aca="false">IF($A35="","",IF($K35="Concluído","Sim","Não"))</f>
        <v/>
      </c>
      <c r="P35" s="40" t="str">
        <f aca="true">IF($A35="","",IF($K35="Stand-by","Stand-by",IF($K35="Concluído","Concluída",IF(AND($M35&lt;&gt;"",$M35&lt;TODAY()),"Atrasada","Em dia"))))</f>
        <v/>
      </c>
      <c r="Q35" s="40" t="str">
        <f aca="false">IF($A35="","",IF(LEN(IF($J35="","título, ","")&amp;IF($C35="","responsável, ","")&amp;IF($D35="","tipo, ","")&amp;IF($I35="","canal, ","")&amp;IF($H35="","município, ","")&amp;IF(AND($U35="Sim",$E35=""),"empresa, ","")&amp;IF(AND($U35="Sim",$F35=""),"editor, ","")&amp;IF(AND($K35="Concluído",$N35=""),"data de conclusão, ","")&amp;IF(AND($K35="Concluído",$R35=""),"link, ","")&amp;IF(AND($K35="Concluído",$L35=""),"quem liberou, ",""))=0,"OK","Falta "&amp;LEFT(IF($J35="","título, ","")&amp;IF($C35="","responsável, ","")&amp;IF($D35="","tipo, ","")&amp;IF($I35="","canal, ","")&amp;IF($H35="","município, ","")&amp;IF(AND($U35="Sim",$E35=""),"empresa, ","")&amp;IF(AND($U35="Sim",$F35=""),"editor, ","")&amp;IF(AND($K35="Concluído",$N35=""),"data de conclusão, ","")&amp;IF(AND($K35="Concluído",$R35=""),"link, ","")&amp;IF(AND($K35="Concluído",$L35=""),"quem liberou, ",""),LEN(IF($J35="","título, ","")&amp;IF($C35="","responsável, ","")&amp;IF($D35="","tipo, ","")&amp;IF($I35="","canal, ","")&amp;IF($H35="","município, ","")&amp;IF(AND($U35="Sim",$E35=""),"empresa, ","")&amp;IF(AND($U35="Sim",$F35=""),"editor, ","")&amp;IF(AND($K35="Concluído",$N35=""),"data de conclusão, ","")&amp;IF(AND($K35="Concluído",$R35=""),"link, ","")&amp;IF(AND($K35="Concluído",$L35=""),"quem liberou, ",""))-2)))</f>
        <v/>
      </c>
      <c r="R35" s="38"/>
      <c r="S35" s="38"/>
      <c r="T35" s="38"/>
      <c r="U35" s="40" t="str">
        <f aca="false">IF($A35="","",IFERROR(INDEX(Listas!$E$5:$E$64,MATCH($D35,Listas!$C$5:$C$64,0)),"Não"))</f>
        <v/>
      </c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9" t="str">
        <f aca="false">IF(OR($A36="",$D36=""),"",$A36+IFERROR(INDEX(Listas!$D$5:$D$64,MATCH($D36,Listas!$C$5:$C$64,0)),3))</f>
        <v/>
      </c>
      <c r="N36" s="37"/>
      <c r="O36" s="40" t="str">
        <f aca="false">IF($A36="","",IF($K36="Concluído","Sim","Não"))</f>
        <v/>
      </c>
      <c r="P36" s="40" t="str">
        <f aca="true">IF($A36="","",IF($K36="Stand-by","Stand-by",IF($K36="Concluído","Concluída",IF(AND($M36&lt;&gt;"",$M36&lt;TODAY()),"Atrasada","Em dia"))))</f>
        <v/>
      </c>
      <c r="Q36" s="40" t="str">
        <f aca="false">IF($A36="","",IF(LEN(IF($J36="","título, ","")&amp;IF($C36="","responsável, ","")&amp;IF($D36="","tipo, ","")&amp;IF($I36="","canal, ","")&amp;IF($H36="","município, ","")&amp;IF(AND($U36="Sim",$E36=""),"empresa, ","")&amp;IF(AND($U36="Sim",$F36=""),"editor, ","")&amp;IF(AND($K36="Concluído",$N36=""),"data de conclusão, ","")&amp;IF(AND($K36="Concluído",$R36=""),"link, ","")&amp;IF(AND($K36="Concluído",$L36=""),"quem liberou, ",""))=0,"OK","Falta "&amp;LEFT(IF($J36="","título, ","")&amp;IF($C36="","responsável, ","")&amp;IF($D36="","tipo, ","")&amp;IF($I36="","canal, ","")&amp;IF($H36="","município, ","")&amp;IF(AND($U36="Sim",$E36=""),"empresa, ","")&amp;IF(AND($U36="Sim",$F36=""),"editor, ","")&amp;IF(AND($K36="Concluído",$N36=""),"data de conclusão, ","")&amp;IF(AND($K36="Concluído",$R36=""),"link, ","")&amp;IF(AND($K36="Concluído",$L36=""),"quem liberou, ",""),LEN(IF($J36="","título, ","")&amp;IF($C36="","responsável, ","")&amp;IF($D36="","tipo, ","")&amp;IF($I36="","canal, ","")&amp;IF($H36="","município, ","")&amp;IF(AND($U36="Sim",$E36=""),"empresa, ","")&amp;IF(AND($U36="Sim",$F36=""),"editor, ","")&amp;IF(AND($K36="Concluído",$N36=""),"data de conclusão, ","")&amp;IF(AND($K36="Concluído",$R36=""),"link, ","")&amp;IF(AND($K36="Concluído",$L36=""),"quem liberou, ",""))-2)))</f>
        <v/>
      </c>
      <c r="R36" s="38"/>
      <c r="S36" s="38"/>
      <c r="T36" s="38"/>
      <c r="U36" s="40" t="str">
        <f aca="false">IF($A36="","",IFERROR(INDEX(Listas!$E$5:$E$64,MATCH($D36,Listas!$C$5:$C$64,0)),"Não"))</f>
        <v/>
      </c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9" t="str">
        <f aca="false">IF(OR($A37="",$D37=""),"",$A37+IFERROR(INDEX(Listas!$D$5:$D$64,MATCH($D37,Listas!$C$5:$C$64,0)),3))</f>
        <v/>
      </c>
      <c r="N37" s="37"/>
      <c r="O37" s="40" t="str">
        <f aca="false">IF($A37="","",IF($K37="Concluído","Sim","Não"))</f>
        <v/>
      </c>
      <c r="P37" s="40" t="str">
        <f aca="true">IF($A37="","",IF($K37="Stand-by","Stand-by",IF($K37="Concluído","Concluída",IF(AND($M37&lt;&gt;"",$M37&lt;TODAY()),"Atrasada","Em dia"))))</f>
        <v/>
      </c>
      <c r="Q37" s="40" t="str">
        <f aca="false">IF($A37="","",IF(LEN(IF($J37="","título, ","")&amp;IF($C37="","responsável, ","")&amp;IF($D37="","tipo, ","")&amp;IF($I37="","canal, ","")&amp;IF($H37="","município, ","")&amp;IF(AND($U37="Sim",$E37=""),"empresa, ","")&amp;IF(AND($U37="Sim",$F37=""),"editor, ","")&amp;IF(AND($K37="Concluído",$N37=""),"data de conclusão, ","")&amp;IF(AND($K37="Concluído",$R37=""),"link, ","")&amp;IF(AND($K37="Concluído",$L37=""),"quem liberou, ",""))=0,"OK","Falta "&amp;LEFT(IF($J37="","título, ","")&amp;IF($C37="","responsável, ","")&amp;IF($D37="","tipo, ","")&amp;IF($I37="","canal, ","")&amp;IF($H37="","município, ","")&amp;IF(AND($U37="Sim",$E37=""),"empresa, ","")&amp;IF(AND($U37="Sim",$F37=""),"editor, ","")&amp;IF(AND($K37="Concluído",$N37=""),"data de conclusão, ","")&amp;IF(AND($K37="Concluído",$R37=""),"link, ","")&amp;IF(AND($K37="Concluído",$L37=""),"quem liberou, ",""),LEN(IF($J37="","título, ","")&amp;IF($C37="","responsável, ","")&amp;IF($D37="","tipo, ","")&amp;IF($I37="","canal, ","")&amp;IF($H37="","município, ","")&amp;IF(AND($U37="Sim",$E37=""),"empresa, ","")&amp;IF(AND($U37="Sim",$F37=""),"editor, ","")&amp;IF(AND($K37="Concluído",$N37=""),"data de conclusão, ","")&amp;IF(AND($K37="Concluído",$R37=""),"link, ","")&amp;IF(AND($K37="Concluído",$L37=""),"quem liberou, ",""))-2)))</f>
        <v/>
      </c>
      <c r="R37" s="38"/>
      <c r="S37" s="38"/>
      <c r="T37" s="38"/>
      <c r="U37" s="40" t="str">
        <f aca="false">IF($A37="","",IFERROR(INDEX(Listas!$E$5:$E$64,MATCH($D37,Listas!$C$5:$C$64,0)),"Não"))</f>
        <v/>
      </c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9" t="str">
        <f aca="false">IF(OR($A38="",$D38=""),"",$A38+IFERROR(INDEX(Listas!$D$5:$D$64,MATCH($D38,Listas!$C$5:$C$64,0)),3))</f>
        <v/>
      </c>
      <c r="N38" s="37"/>
      <c r="O38" s="40" t="str">
        <f aca="false">IF($A38="","",IF($K38="Concluído","Sim","Não"))</f>
        <v/>
      </c>
      <c r="P38" s="40" t="str">
        <f aca="true">IF($A38="","",IF($K38="Stand-by","Stand-by",IF($K38="Concluído","Concluída",IF(AND($M38&lt;&gt;"",$M38&lt;TODAY()),"Atrasada","Em dia"))))</f>
        <v/>
      </c>
      <c r="Q38" s="40" t="str">
        <f aca="false">IF($A38="","",IF(LEN(IF($J38="","título, ","")&amp;IF($C38="","responsável, ","")&amp;IF($D38="","tipo, ","")&amp;IF($I38="","canal, ","")&amp;IF($H38="","município, ","")&amp;IF(AND($U38="Sim",$E38=""),"empresa, ","")&amp;IF(AND($U38="Sim",$F38=""),"editor, ","")&amp;IF(AND($K38="Concluído",$N38=""),"data de conclusão, ","")&amp;IF(AND($K38="Concluído",$R38=""),"link, ","")&amp;IF(AND($K38="Concluído",$L38=""),"quem liberou, ",""))=0,"OK","Falta "&amp;LEFT(IF($J38="","título, ","")&amp;IF($C38="","responsável, ","")&amp;IF($D38="","tipo, ","")&amp;IF($I38="","canal, ","")&amp;IF($H38="","município, ","")&amp;IF(AND($U38="Sim",$E38=""),"empresa, ","")&amp;IF(AND($U38="Sim",$F38=""),"editor, ","")&amp;IF(AND($K38="Concluído",$N38=""),"data de conclusão, ","")&amp;IF(AND($K38="Concluído",$R38=""),"link, ","")&amp;IF(AND($K38="Concluído",$L38=""),"quem liberou, ",""),LEN(IF($J38="","título, ","")&amp;IF($C38="","responsável, ","")&amp;IF($D38="","tipo, ","")&amp;IF($I38="","canal, ","")&amp;IF($H38="","município, ","")&amp;IF(AND($U38="Sim",$E38=""),"empresa, ","")&amp;IF(AND($U38="Sim",$F38=""),"editor, ","")&amp;IF(AND($K38="Concluído",$N38=""),"data de conclusão, ","")&amp;IF(AND($K38="Concluído",$R38=""),"link, ","")&amp;IF(AND($K38="Concluído",$L38=""),"quem liberou, ",""))-2)))</f>
        <v/>
      </c>
      <c r="R38" s="38"/>
      <c r="S38" s="38"/>
      <c r="T38" s="38"/>
      <c r="U38" s="40" t="str">
        <f aca="false">IF($A38="","",IFERROR(INDEX(Listas!$E$5:$E$64,MATCH($D38,Listas!$C$5:$C$64,0)),"Não"))</f>
        <v/>
      </c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9" t="str">
        <f aca="false">IF(OR($A39="",$D39=""),"",$A39+IFERROR(INDEX(Listas!$D$5:$D$64,MATCH($D39,Listas!$C$5:$C$64,0)),3))</f>
        <v/>
      </c>
      <c r="N39" s="37"/>
      <c r="O39" s="40" t="str">
        <f aca="false">IF($A39="","",IF($K39="Concluído","Sim","Não"))</f>
        <v/>
      </c>
      <c r="P39" s="40" t="str">
        <f aca="true">IF($A39="","",IF($K39="Stand-by","Stand-by",IF($K39="Concluído","Concluída",IF(AND($M39&lt;&gt;"",$M39&lt;TODAY()),"Atrasada","Em dia"))))</f>
        <v/>
      </c>
      <c r="Q39" s="40" t="str">
        <f aca="false">IF($A39="","",IF(LEN(IF($J39="","título, ","")&amp;IF($C39="","responsável, ","")&amp;IF($D39="","tipo, ","")&amp;IF($I39="","canal, ","")&amp;IF($H39="","município, ","")&amp;IF(AND($U39="Sim",$E39=""),"empresa, ","")&amp;IF(AND($U39="Sim",$F39=""),"editor, ","")&amp;IF(AND($K39="Concluído",$N39=""),"data de conclusão, ","")&amp;IF(AND($K39="Concluído",$R39=""),"link, ","")&amp;IF(AND($K39="Concluído",$L39=""),"quem liberou, ",""))=0,"OK","Falta "&amp;LEFT(IF($J39="","título, ","")&amp;IF($C39="","responsável, ","")&amp;IF($D39="","tipo, ","")&amp;IF($I39="","canal, ","")&amp;IF($H39="","município, ","")&amp;IF(AND($U39="Sim",$E39=""),"empresa, ","")&amp;IF(AND($U39="Sim",$F39=""),"editor, ","")&amp;IF(AND($K39="Concluído",$N39=""),"data de conclusão, ","")&amp;IF(AND($K39="Concluído",$R39=""),"link, ","")&amp;IF(AND($K39="Concluído",$L39=""),"quem liberou, ",""),LEN(IF($J39="","título, ","")&amp;IF($C39="","responsável, ","")&amp;IF($D39="","tipo, ","")&amp;IF($I39="","canal, ","")&amp;IF($H39="","município, ","")&amp;IF(AND($U39="Sim",$E39=""),"empresa, ","")&amp;IF(AND($U39="Sim",$F39=""),"editor, ","")&amp;IF(AND($K39="Concluído",$N39=""),"data de conclusão, ","")&amp;IF(AND($K39="Concluído",$R39=""),"link, ","")&amp;IF(AND($K39="Concluído",$L39=""),"quem liberou, ",""))-2)))</f>
        <v/>
      </c>
      <c r="R39" s="38"/>
      <c r="S39" s="38"/>
      <c r="T39" s="38"/>
      <c r="U39" s="40" t="str">
        <f aca="false">IF($A39="","",IFERROR(INDEX(Listas!$E$5:$E$64,MATCH($D39,Listas!$C$5:$C$64,0)),"Não"))</f>
        <v/>
      </c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9" t="str">
        <f aca="false">IF(OR($A40="",$D40=""),"",$A40+IFERROR(INDEX(Listas!$D$5:$D$64,MATCH($D40,Listas!$C$5:$C$64,0)),3))</f>
        <v/>
      </c>
      <c r="N40" s="37"/>
      <c r="O40" s="40" t="str">
        <f aca="false">IF($A40="","",IF($K40="Concluído","Sim","Não"))</f>
        <v/>
      </c>
      <c r="P40" s="40" t="str">
        <f aca="true">IF($A40="","",IF($K40="Stand-by","Stand-by",IF($K40="Concluído","Concluída",IF(AND($M40&lt;&gt;"",$M40&lt;TODAY()),"Atrasada","Em dia"))))</f>
        <v/>
      </c>
      <c r="Q40" s="40" t="str">
        <f aca="false">IF($A40="","",IF(LEN(IF($J40="","título, ","")&amp;IF($C40="","responsável, ","")&amp;IF($D40="","tipo, ","")&amp;IF($I40="","canal, ","")&amp;IF($H40="","município, ","")&amp;IF(AND($U40="Sim",$E40=""),"empresa, ","")&amp;IF(AND($U40="Sim",$F40=""),"editor, ","")&amp;IF(AND($K40="Concluído",$N40=""),"data de conclusão, ","")&amp;IF(AND($K40="Concluído",$R40=""),"link, ","")&amp;IF(AND($K40="Concluído",$L40=""),"quem liberou, ",""))=0,"OK","Falta "&amp;LEFT(IF($J40="","título, ","")&amp;IF($C40="","responsável, ","")&amp;IF($D40="","tipo, ","")&amp;IF($I40="","canal, ","")&amp;IF($H40="","município, ","")&amp;IF(AND($U40="Sim",$E40=""),"empresa, ","")&amp;IF(AND($U40="Sim",$F40=""),"editor, ","")&amp;IF(AND($K40="Concluído",$N40=""),"data de conclusão, ","")&amp;IF(AND($K40="Concluído",$R40=""),"link, ","")&amp;IF(AND($K40="Concluído",$L40=""),"quem liberou, ",""),LEN(IF($J40="","título, ","")&amp;IF($C40="","responsável, ","")&amp;IF($D40="","tipo, ","")&amp;IF($I40="","canal, ","")&amp;IF($H40="","município, ","")&amp;IF(AND($U40="Sim",$E40=""),"empresa, ","")&amp;IF(AND($U40="Sim",$F40=""),"editor, ","")&amp;IF(AND($K40="Concluído",$N40=""),"data de conclusão, ","")&amp;IF(AND($K40="Concluído",$R40=""),"link, ","")&amp;IF(AND($K40="Concluído",$L40=""),"quem liberou, ",""))-2)))</f>
        <v/>
      </c>
      <c r="R40" s="38"/>
      <c r="S40" s="38"/>
      <c r="T40" s="38"/>
      <c r="U40" s="40" t="str">
        <f aca="false">IF($A40="","",IFERROR(INDEX(Listas!$E$5:$E$64,MATCH($D40,Listas!$C$5:$C$64,0)),"Não"))</f>
        <v/>
      </c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9" t="str">
        <f aca="false">IF(OR($A41="",$D41=""),"",$A41+IFERROR(INDEX(Listas!$D$5:$D$64,MATCH($D41,Listas!$C$5:$C$64,0)),3))</f>
        <v/>
      </c>
      <c r="N41" s="37"/>
      <c r="O41" s="40" t="str">
        <f aca="false">IF($A41="","",IF($K41="Concluído","Sim","Não"))</f>
        <v/>
      </c>
      <c r="P41" s="40" t="str">
        <f aca="true">IF($A41="","",IF($K41="Stand-by","Stand-by",IF($K41="Concluído","Concluída",IF(AND($M41&lt;&gt;"",$M41&lt;TODAY()),"Atrasada","Em dia"))))</f>
        <v/>
      </c>
      <c r="Q41" s="40" t="str">
        <f aca="false">IF($A41="","",IF(LEN(IF($J41="","título, ","")&amp;IF($C41="","responsável, ","")&amp;IF($D41="","tipo, ","")&amp;IF($I41="","canal, ","")&amp;IF($H41="","município, ","")&amp;IF(AND($U41="Sim",$E41=""),"empresa, ","")&amp;IF(AND($U41="Sim",$F41=""),"editor, ","")&amp;IF(AND($K41="Concluído",$N41=""),"data de conclusão, ","")&amp;IF(AND($K41="Concluído",$R41=""),"link, ","")&amp;IF(AND($K41="Concluído",$L41=""),"quem liberou, ",""))=0,"OK","Falta "&amp;LEFT(IF($J41="","título, ","")&amp;IF($C41="","responsável, ","")&amp;IF($D41="","tipo, ","")&amp;IF($I41="","canal, ","")&amp;IF($H41="","município, ","")&amp;IF(AND($U41="Sim",$E41=""),"empresa, ","")&amp;IF(AND($U41="Sim",$F41=""),"editor, ","")&amp;IF(AND($K41="Concluído",$N41=""),"data de conclusão, ","")&amp;IF(AND($K41="Concluído",$R41=""),"link, ","")&amp;IF(AND($K41="Concluído",$L41=""),"quem liberou, ",""),LEN(IF($J41="","título, ","")&amp;IF($C41="","responsável, ","")&amp;IF($D41="","tipo, ","")&amp;IF($I41="","canal, ","")&amp;IF($H41="","município, ","")&amp;IF(AND($U41="Sim",$E41=""),"empresa, ","")&amp;IF(AND($U41="Sim",$F41=""),"editor, ","")&amp;IF(AND($K41="Concluído",$N41=""),"data de conclusão, ","")&amp;IF(AND($K41="Concluído",$R41=""),"link, ","")&amp;IF(AND($K41="Concluído",$L41=""),"quem liberou, ",""))-2)))</f>
        <v/>
      </c>
      <c r="R41" s="38"/>
      <c r="S41" s="38"/>
      <c r="T41" s="38"/>
      <c r="U41" s="40" t="str">
        <f aca="false">IF($A41="","",IFERROR(INDEX(Listas!$E$5:$E$64,MATCH($D41,Listas!$C$5:$C$64,0)),"Não"))</f>
        <v/>
      </c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9" t="str">
        <f aca="false">IF(OR($A42="",$D42=""),"",$A42+IFERROR(INDEX(Listas!$D$5:$D$64,MATCH($D42,Listas!$C$5:$C$64,0)),3))</f>
        <v/>
      </c>
      <c r="N42" s="37"/>
      <c r="O42" s="40" t="str">
        <f aca="false">IF($A42="","",IF($K42="Concluído","Sim","Não"))</f>
        <v/>
      </c>
      <c r="P42" s="40" t="str">
        <f aca="true">IF($A42="","",IF($K42="Stand-by","Stand-by",IF($K42="Concluído","Concluída",IF(AND($M42&lt;&gt;"",$M42&lt;TODAY()),"Atrasada","Em dia"))))</f>
        <v/>
      </c>
      <c r="Q42" s="40" t="str">
        <f aca="false">IF($A42="","",IF(LEN(IF($J42="","título, ","")&amp;IF($C42="","responsável, ","")&amp;IF($D42="","tipo, ","")&amp;IF($I42="","canal, ","")&amp;IF($H42="","município, ","")&amp;IF(AND($U42="Sim",$E42=""),"empresa, ","")&amp;IF(AND($U42="Sim",$F42=""),"editor, ","")&amp;IF(AND($K42="Concluído",$N42=""),"data de conclusão, ","")&amp;IF(AND($K42="Concluído",$R42=""),"link, ","")&amp;IF(AND($K42="Concluído",$L42=""),"quem liberou, ",""))=0,"OK","Falta "&amp;LEFT(IF($J42="","título, ","")&amp;IF($C42="","responsável, ","")&amp;IF($D42="","tipo, ","")&amp;IF($I42="","canal, ","")&amp;IF($H42="","município, ","")&amp;IF(AND($U42="Sim",$E42=""),"empresa, ","")&amp;IF(AND($U42="Sim",$F42=""),"editor, ","")&amp;IF(AND($K42="Concluído",$N42=""),"data de conclusão, ","")&amp;IF(AND($K42="Concluído",$R42=""),"link, ","")&amp;IF(AND($K42="Concluído",$L42=""),"quem liberou, ",""),LEN(IF($J42="","título, ","")&amp;IF($C42="","responsável, ","")&amp;IF($D42="","tipo, ","")&amp;IF($I42="","canal, ","")&amp;IF($H42="","município, ","")&amp;IF(AND($U42="Sim",$E42=""),"empresa, ","")&amp;IF(AND($U42="Sim",$F42=""),"editor, ","")&amp;IF(AND($K42="Concluído",$N42=""),"data de conclusão, ","")&amp;IF(AND($K42="Concluído",$R42=""),"link, ","")&amp;IF(AND($K42="Concluído",$L42=""),"quem liberou, ",""))-2)))</f>
        <v/>
      </c>
      <c r="R42" s="38"/>
      <c r="S42" s="38"/>
      <c r="T42" s="38"/>
      <c r="U42" s="40" t="str">
        <f aca="false">IF($A42="","",IFERROR(INDEX(Listas!$E$5:$E$64,MATCH($D42,Listas!$C$5:$C$64,0)),"Não"))</f>
        <v/>
      </c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9" t="str">
        <f aca="false">IF(OR($A43="",$D43=""),"",$A43+IFERROR(INDEX(Listas!$D$5:$D$64,MATCH($D43,Listas!$C$5:$C$64,0)),3))</f>
        <v/>
      </c>
      <c r="N43" s="37"/>
      <c r="O43" s="40" t="str">
        <f aca="false">IF($A43="","",IF($K43="Concluído","Sim","Não"))</f>
        <v/>
      </c>
      <c r="P43" s="40" t="str">
        <f aca="true">IF($A43="","",IF($K43="Stand-by","Stand-by",IF($K43="Concluído","Concluída",IF(AND($M43&lt;&gt;"",$M43&lt;TODAY()),"Atrasada","Em dia"))))</f>
        <v/>
      </c>
      <c r="Q43" s="40" t="str">
        <f aca="false">IF($A43="","",IF(LEN(IF($J43="","título, ","")&amp;IF($C43="","responsável, ","")&amp;IF($D43="","tipo, ","")&amp;IF($I43="","canal, ","")&amp;IF($H43="","município, ","")&amp;IF(AND($U43="Sim",$E43=""),"empresa, ","")&amp;IF(AND($U43="Sim",$F43=""),"editor, ","")&amp;IF(AND($K43="Concluído",$N43=""),"data de conclusão, ","")&amp;IF(AND($K43="Concluído",$R43=""),"link, ","")&amp;IF(AND($K43="Concluído",$L43=""),"quem liberou, ",""))=0,"OK","Falta "&amp;LEFT(IF($J43="","título, ","")&amp;IF($C43="","responsável, ","")&amp;IF($D43="","tipo, ","")&amp;IF($I43="","canal, ","")&amp;IF($H43="","município, ","")&amp;IF(AND($U43="Sim",$E43=""),"empresa, ","")&amp;IF(AND($U43="Sim",$F43=""),"editor, ","")&amp;IF(AND($K43="Concluído",$N43=""),"data de conclusão, ","")&amp;IF(AND($K43="Concluído",$R43=""),"link, ","")&amp;IF(AND($K43="Concluído",$L43=""),"quem liberou, ",""),LEN(IF($J43="","título, ","")&amp;IF($C43="","responsável, ","")&amp;IF($D43="","tipo, ","")&amp;IF($I43="","canal, ","")&amp;IF($H43="","município, ","")&amp;IF(AND($U43="Sim",$E43=""),"empresa, ","")&amp;IF(AND($U43="Sim",$F43=""),"editor, ","")&amp;IF(AND($K43="Concluído",$N43=""),"data de conclusão, ","")&amp;IF(AND($K43="Concluído",$R43=""),"link, ","")&amp;IF(AND($K43="Concluído",$L43=""),"quem liberou, ",""))-2)))</f>
        <v/>
      </c>
      <c r="R43" s="38"/>
      <c r="S43" s="38"/>
      <c r="T43" s="38"/>
      <c r="U43" s="40" t="str">
        <f aca="false">IF($A43="","",IFERROR(INDEX(Listas!$E$5:$E$64,MATCH($D43,Listas!$C$5:$C$64,0)),"Não"))</f>
        <v/>
      </c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9" t="str">
        <f aca="false">IF(OR($A44="",$D44=""),"",$A44+IFERROR(INDEX(Listas!$D$5:$D$64,MATCH($D44,Listas!$C$5:$C$64,0)),3))</f>
        <v/>
      </c>
      <c r="N44" s="37"/>
      <c r="O44" s="40" t="str">
        <f aca="false">IF($A44="","",IF($K44="Concluído","Sim","Não"))</f>
        <v/>
      </c>
      <c r="P44" s="40" t="str">
        <f aca="true">IF($A44="","",IF($K44="Stand-by","Stand-by",IF($K44="Concluído","Concluída",IF(AND($M44&lt;&gt;"",$M44&lt;TODAY()),"Atrasada","Em dia"))))</f>
        <v/>
      </c>
      <c r="Q44" s="40" t="str">
        <f aca="false">IF($A44="","",IF(LEN(IF($J44="","título, ","")&amp;IF($C44="","responsável, ","")&amp;IF($D44="","tipo, ","")&amp;IF($I44="","canal, ","")&amp;IF($H44="","município, ","")&amp;IF(AND($U44="Sim",$E44=""),"empresa, ","")&amp;IF(AND($U44="Sim",$F44=""),"editor, ","")&amp;IF(AND($K44="Concluído",$N44=""),"data de conclusão, ","")&amp;IF(AND($K44="Concluído",$R44=""),"link, ","")&amp;IF(AND($K44="Concluído",$L44=""),"quem liberou, ",""))=0,"OK","Falta "&amp;LEFT(IF($J44="","título, ","")&amp;IF($C44="","responsável, ","")&amp;IF($D44="","tipo, ","")&amp;IF($I44="","canal, ","")&amp;IF($H44="","município, ","")&amp;IF(AND($U44="Sim",$E44=""),"empresa, ","")&amp;IF(AND($U44="Sim",$F44=""),"editor, ","")&amp;IF(AND($K44="Concluído",$N44=""),"data de conclusão, ","")&amp;IF(AND($K44="Concluído",$R44=""),"link, ","")&amp;IF(AND($K44="Concluído",$L44=""),"quem liberou, ",""),LEN(IF($J44="","título, ","")&amp;IF($C44="","responsável, ","")&amp;IF($D44="","tipo, ","")&amp;IF($I44="","canal, ","")&amp;IF($H44="","município, ","")&amp;IF(AND($U44="Sim",$E44=""),"empresa, ","")&amp;IF(AND($U44="Sim",$F44=""),"editor, ","")&amp;IF(AND($K44="Concluído",$N44=""),"data de conclusão, ","")&amp;IF(AND($K44="Concluído",$R44=""),"link, ","")&amp;IF(AND($K44="Concluído",$L44=""),"quem liberou, ",""))-2)))</f>
        <v/>
      </c>
      <c r="R44" s="38"/>
      <c r="S44" s="38"/>
      <c r="T44" s="38"/>
      <c r="U44" s="40" t="str">
        <f aca="false">IF($A44="","",IFERROR(INDEX(Listas!$E$5:$E$64,MATCH($D44,Listas!$C$5:$C$64,0)),"Não"))</f>
        <v/>
      </c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9" t="str">
        <f aca="false">IF(OR($A45="",$D45=""),"",$A45+IFERROR(INDEX(Listas!$D$5:$D$64,MATCH($D45,Listas!$C$5:$C$64,0)),3))</f>
        <v/>
      </c>
      <c r="N45" s="37"/>
      <c r="O45" s="40" t="str">
        <f aca="false">IF($A45="","",IF($K45="Concluído","Sim","Não"))</f>
        <v/>
      </c>
      <c r="P45" s="40" t="str">
        <f aca="true">IF($A45="","",IF($K45="Stand-by","Stand-by",IF($K45="Concluído","Concluída",IF(AND($M45&lt;&gt;"",$M45&lt;TODAY()),"Atrasada","Em dia"))))</f>
        <v/>
      </c>
      <c r="Q45" s="40" t="str">
        <f aca="false">IF($A45="","",IF(LEN(IF($J45="","título, ","")&amp;IF($C45="","responsável, ","")&amp;IF($D45="","tipo, ","")&amp;IF($I45="","canal, ","")&amp;IF($H45="","município, ","")&amp;IF(AND($U45="Sim",$E45=""),"empresa, ","")&amp;IF(AND($U45="Sim",$F45=""),"editor, ","")&amp;IF(AND($K45="Concluído",$N45=""),"data de conclusão, ","")&amp;IF(AND($K45="Concluído",$R45=""),"link, ","")&amp;IF(AND($K45="Concluído",$L45=""),"quem liberou, ",""))=0,"OK","Falta "&amp;LEFT(IF($J45="","título, ","")&amp;IF($C45="","responsável, ","")&amp;IF($D45="","tipo, ","")&amp;IF($I45="","canal, ","")&amp;IF($H45="","município, ","")&amp;IF(AND($U45="Sim",$E45=""),"empresa, ","")&amp;IF(AND($U45="Sim",$F45=""),"editor, ","")&amp;IF(AND($K45="Concluído",$N45=""),"data de conclusão, ","")&amp;IF(AND($K45="Concluído",$R45=""),"link, ","")&amp;IF(AND($K45="Concluído",$L45=""),"quem liberou, ",""),LEN(IF($J45="","título, ","")&amp;IF($C45="","responsável, ","")&amp;IF($D45="","tipo, ","")&amp;IF($I45="","canal, ","")&amp;IF($H45="","município, ","")&amp;IF(AND($U45="Sim",$E45=""),"empresa, ","")&amp;IF(AND($U45="Sim",$F45=""),"editor, ","")&amp;IF(AND($K45="Concluído",$N45=""),"data de conclusão, ","")&amp;IF(AND($K45="Concluído",$R45=""),"link, ","")&amp;IF(AND($K45="Concluído",$L45=""),"quem liberou, ",""))-2)))</f>
        <v/>
      </c>
      <c r="R45" s="38"/>
      <c r="S45" s="38"/>
      <c r="T45" s="38"/>
      <c r="U45" s="40" t="str">
        <f aca="false">IF($A45="","",IFERROR(INDEX(Listas!$E$5:$E$64,MATCH($D45,Listas!$C$5:$C$64,0)),"Não"))</f>
        <v/>
      </c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9" t="str">
        <f aca="false">IF(OR($A46="",$D46=""),"",$A46+IFERROR(INDEX(Listas!$D$5:$D$64,MATCH($D46,Listas!$C$5:$C$64,0)),3))</f>
        <v/>
      </c>
      <c r="N46" s="37"/>
      <c r="O46" s="40" t="str">
        <f aca="false">IF($A46="","",IF($K46="Concluído","Sim","Não"))</f>
        <v/>
      </c>
      <c r="P46" s="40" t="str">
        <f aca="true">IF($A46="","",IF($K46="Stand-by","Stand-by",IF($K46="Concluído","Concluída",IF(AND($M46&lt;&gt;"",$M46&lt;TODAY()),"Atrasada","Em dia"))))</f>
        <v/>
      </c>
      <c r="Q46" s="40" t="str">
        <f aca="false">IF($A46="","",IF(LEN(IF($J46="","título, ","")&amp;IF($C46="","responsável, ","")&amp;IF($D46="","tipo, ","")&amp;IF($I46="","canal, ","")&amp;IF($H46="","município, ","")&amp;IF(AND($U46="Sim",$E46=""),"empresa, ","")&amp;IF(AND($U46="Sim",$F46=""),"editor, ","")&amp;IF(AND($K46="Concluído",$N46=""),"data de conclusão, ","")&amp;IF(AND($K46="Concluído",$R46=""),"link, ","")&amp;IF(AND($K46="Concluído",$L46=""),"quem liberou, ",""))=0,"OK","Falta "&amp;LEFT(IF($J46="","título, ","")&amp;IF($C46="","responsável, ","")&amp;IF($D46="","tipo, ","")&amp;IF($I46="","canal, ","")&amp;IF($H46="","município, ","")&amp;IF(AND($U46="Sim",$E46=""),"empresa, ","")&amp;IF(AND($U46="Sim",$F46=""),"editor, ","")&amp;IF(AND($K46="Concluído",$N46=""),"data de conclusão, ","")&amp;IF(AND($K46="Concluído",$R46=""),"link, ","")&amp;IF(AND($K46="Concluído",$L46=""),"quem liberou, ",""),LEN(IF($J46="","título, ","")&amp;IF($C46="","responsável, ","")&amp;IF($D46="","tipo, ","")&amp;IF($I46="","canal, ","")&amp;IF($H46="","município, ","")&amp;IF(AND($U46="Sim",$E46=""),"empresa, ","")&amp;IF(AND($U46="Sim",$F46=""),"editor, ","")&amp;IF(AND($K46="Concluído",$N46=""),"data de conclusão, ","")&amp;IF(AND($K46="Concluído",$R46=""),"link, ","")&amp;IF(AND($K46="Concluído",$L46=""),"quem liberou, ",""))-2)))</f>
        <v/>
      </c>
      <c r="R46" s="38"/>
      <c r="S46" s="38"/>
      <c r="T46" s="38"/>
      <c r="U46" s="40" t="str">
        <f aca="false">IF($A46="","",IFERROR(INDEX(Listas!$E$5:$E$64,MATCH($D46,Listas!$C$5:$C$64,0)),"Não"))</f>
        <v/>
      </c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9" t="str">
        <f aca="false">IF(OR($A47="",$D47=""),"",$A47+IFERROR(INDEX(Listas!$D$5:$D$64,MATCH($D47,Listas!$C$5:$C$64,0)),3))</f>
        <v/>
      </c>
      <c r="N47" s="37"/>
      <c r="O47" s="40" t="str">
        <f aca="false">IF($A47="","",IF($K47="Concluído","Sim","Não"))</f>
        <v/>
      </c>
      <c r="P47" s="40" t="str">
        <f aca="true">IF($A47="","",IF($K47="Stand-by","Stand-by",IF($K47="Concluído","Concluída",IF(AND($M47&lt;&gt;"",$M47&lt;TODAY()),"Atrasada","Em dia"))))</f>
        <v/>
      </c>
      <c r="Q47" s="40" t="str">
        <f aca="false">IF($A47="","",IF(LEN(IF($J47="","título, ","")&amp;IF($C47="","responsável, ","")&amp;IF($D47="","tipo, ","")&amp;IF($I47="","canal, ","")&amp;IF($H47="","município, ","")&amp;IF(AND($U47="Sim",$E47=""),"empresa, ","")&amp;IF(AND($U47="Sim",$F47=""),"editor, ","")&amp;IF(AND($K47="Concluído",$N47=""),"data de conclusão, ","")&amp;IF(AND($K47="Concluído",$R47=""),"link, ","")&amp;IF(AND($K47="Concluído",$L47=""),"quem liberou, ",""))=0,"OK","Falta "&amp;LEFT(IF($J47="","título, ","")&amp;IF($C47="","responsável, ","")&amp;IF($D47="","tipo, ","")&amp;IF($I47="","canal, ","")&amp;IF($H47="","município, ","")&amp;IF(AND($U47="Sim",$E47=""),"empresa, ","")&amp;IF(AND($U47="Sim",$F47=""),"editor, ","")&amp;IF(AND($K47="Concluído",$N47=""),"data de conclusão, ","")&amp;IF(AND($K47="Concluído",$R47=""),"link, ","")&amp;IF(AND($K47="Concluído",$L47=""),"quem liberou, ",""),LEN(IF($J47="","título, ","")&amp;IF($C47="","responsável, ","")&amp;IF($D47="","tipo, ","")&amp;IF($I47="","canal, ","")&amp;IF($H47="","município, ","")&amp;IF(AND($U47="Sim",$E47=""),"empresa, ","")&amp;IF(AND($U47="Sim",$F47=""),"editor, ","")&amp;IF(AND($K47="Concluído",$N47=""),"data de conclusão, ","")&amp;IF(AND($K47="Concluído",$R47=""),"link, ","")&amp;IF(AND($K47="Concluído",$L47=""),"quem liberou, ",""))-2)))</f>
        <v/>
      </c>
      <c r="R47" s="38"/>
      <c r="S47" s="38"/>
      <c r="T47" s="38"/>
      <c r="U47" s="40" t="str">
        <f aca="false">IF($A47="","",IFERROR(INDEX(Listas!$E$5:$E$64,MATCH($D47,Listas!$C$5:$C$64,0)),"Não"))</f>
        <v/>
      </c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9" t="str">
        <f aca="false">IF(OR($A48="",$D48=""),"",$A48+IFERROR(INDEX(Listas!$D$5:$D$64,MATCH($D48,Listas!$C$5:$C$64,0)),3))</f>
        <v/>
      </c>
      <c r="N48" s="37"/>
      <c r="O48" s="40" t="str">
        <f aca="false">IF($A48="","",IF($K48="Concluído","Sim","Não"))</f>
        <v/>
      </c>
      <c r="P48" s="40" t="str">
        <f aca="true">IF($A48="","",IF($K48="Stand-by","Stand-by",IF($K48="Concluído","Concluída",IF(AND($M48&lt;&gt;"",$M48&lt;TODAY()),"Atrasada","Em dia"))))</f>
        <v/>
      </c>
      <c r="Q48" s="40" t="str">
        <f aca="false">IF($A48="","",IF(LEN(IF($J48="","título, ","")&amp;IF($C48="","responsável, ","")&amp;IF($D48="","tipo, ","")&amp;IF($I48="","canal, ","")&amp;IF($H48="","município, ","")&amp;IF(AND($U48="Sim",$E48=""),"empresa, ","")&amp;IF(AND($U48="Sim",$F48=""),"editor, ","")&amp;IF(AND($K48="Concluído",$N48=""),"data de conclusão, ","")&amp;IF(AND($K48="Concluído",$R48=""),"link, ","")&amp;IF(AND($K48="Concluído",$L48=""),"quem liberou, ",""))=0,"OK","Falta "&amp;LEFT(IF($J48="","título, ","")&amp;IF($C48="","responsável, ","")&amp;IF($D48="","tipo, ","")&amp;IF($I48="","canal, ","")&amp;IF($H48="","município, ","")&amp;IF(AND($U48="Sim",$E48=""),"empresa, ","")&amp;IF(AND($U48="Sim",$F48=""),"editor, ","")&amp;IF(AND($K48="Concluído",$N48=""),"data de conclusão, ","")&amp;IF(AND($K48="Concluído",$R48=""),"link, ","")&amp;IF(AND($K48="Concluído",$L48=""),"quem liberou, ",""),LEN(IF($J48="","título, ","")&amp;IF($C48="","responsável, ","")&amp;IF($D48="","tipo, ","")&amp;IF($I48="","canal, ","")&amp;IF($H48="","município, ","")&amp;IF(AND($U48="Sim",$E48=""),"empresa, ","")&amp;IF(AND($U48="Sim",$F48=""),"editor, ","")&amp;IF(AND($K48="Concluído",$N48=""),"data de conclusão, ","")&amp;IF(AND($K48="Concluído",$R48=""),"link, ","")&amp;IF(AND($K48="Concluído",$L48=""),"quem liberou, ",""))-2)))</f>
        <v/>
      </c>
      <c r="R48" s="38"/>
      <c r="S48" s="38"/>
      <c r="T48" s="38"/>
      <c r="U48" s="40" t="str">
        <f aca="false">IF($A48="","",IFERROR(INDEX(Listas!$E$5:$E$64,MATCH($D48,Listas!$C$5:$C$64,0)),"Não"))</f>
        <v/>
      </c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9" t="str">
        <f aca="false">IF(OR($A49="",$D49=""),"",$A49+IFERROR(INDEX(Listas!$D$5:$D$64,MATCH($D49,Listas!$C$5:$C$64,0)),3))</f>
        <v/>
      </c>
      <c r="N49" s="37"/>
      <c r="O49" s="40" t="str">
        <f aca="false">IF($A49="","",IF($K49="Concluído","Sim","Não"))</f>
        <v/>
      </c>
      <c r="P49" s="40" t="str">
        <f aca="true">IF($A49="","",IF($K49="Stand-by","Stand-by",IF($K49="Concluído","Concluída",IF(AND($M49&lt;&gt;"",$M49&lt;TODAY()),"Atrasada","Em dia"))))</f>
        <v/>
      </c>
      <c r="Q49" s="40" t="str">
        <f aca="false">IF($A49="","",IF(LEN(IF($J49="","título, ","")&amp;IF($C49="","responsável, ","")&amp;IF($D49="","tipo, ","")&amp;IF($I49="","canal, ","")&amp;IF($H49="","município, ","")&amp;IF(AND($U49="Sim",$E49=""),"empresa, ","")&amp;IF(AND($U49="Sim",$F49=""),"editor, ","")&amp;IF(AND($K49="Concluído",$N49=""),"data de conclusão, ","")&amp;IF(AND($K49="Concluído",$R49=""),"link, ","")&amp;IF(AND($K49="Concluído",$L49=""),"quem liberou, ",""))=0,"OK","Falta "&amp;LEFT(IF($J49="","título, ","")&amp;IF($C49="","responsável, ","")&amp;IF($D49="","tipo, ","")&amp;IF($I49="","canal, ","")&amp;IF($H49="","município, ","")&amp;IF(AND($U49="Sim",$E49=""),"empresa, ","")&amp;IF(AND($U49="Sim",$F49=""),"editor, ","")&amp;IF(AND($K49="Concluído",$N49=""),"data de conclusão, ","")&amp;IF(AND($K49="Concluído",$R49=""),"link, ","")&amp;IF(AND($K49="Concluído",$L49=""),"quem liberou, ",""),LEN(IF($J49="","título, ","")&amp;IF($C49="","responsável, ","")&amp;IF($D49="","tipo, ","")&amp;IF($I49="","canal, ","")&amp;IF($H49="","município, ","")&amp;IF(AND($U49="Sim",$E49=""),"empresa, ","")&amp;IF(AND($U49="Sim",$F49=""),"editor, ","")&amp;IF(AND($K49="Concluído",$N49=""),"data de conclusão, ","")&amp;IF(AND($K49="Concluído",$R49=""),"link, ","")&amp;IF(AND($K49="Concluído",$L49=""),"quem liberou, ",""))-2)))</f>
        <v/>
      </c>
      <c r="R49" s="38"/>
      <c r="S49" s="38"/>
      <c r="T49" s="38"/>
      <c r="U49" s="40" t="str">
        <f aca="false">IF($A49="","",IFERROR(INDEX(Listas!$E$5:$E$64,MATCH($D49,Listas!$C$5:$C$64,0)),"Não"))</f>
        <v/>
      </c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9" t="str">
        <f aca="false">IF(OR($A50="",$D50=""),"",$A50+IFERROR(INDEX(Listas!$D$5:$D$64,MATCH($D50,Listas!$C$5:$C$64,0)),3))</f>
        <v/>
      </c>
      <c r="N50" s="37"/>
      <c r="O50" s="40" t="str">
        <f aca="false">IF($A50="","",IF($K50="Concluído","Sim","Não"))</f>
        <v/>
      </c>
      <c r="P50" s="40" t="str">
        <f aca="true">IF($A50="","",IF($K50="Stand-by","Stand-by",IF($K50="Concluído","Concluída",IF(AND($M50&lt;&gt;"",$M50&lt;TODAY()),"Atrasada","Em dia"))))</f>
        <v/>
      </c>
      <c r="Q50" s="40" t="str">
        <f aca="false">IF($A50="","",IF(LEN(IF($J50="","título, ","")&amp;IF($C50="","responsável, ","")&amp;IF($D50="","tipo, ","")&amp;IF($I50="","canal, ","")&amp;IF($H50="","município, ","")&amp;IF(AND($U50="Sim",$E50=""),"empresa, ","")&amp;IF(AND($U50="Sim",$F50=""),"editor, ","")&amp;IF(AND($K50="Concluído",$N50=""),"data de conclusão, ","")&amp;IF(AND($K50="Concluído",$R50=""),"link, ","")&amp;IF(AND($K50="Concluído",$L50=""),"quem liberou, ",""))=0,"OK","Falta "&amp;LEFT(IF($J50="","título, ","")&amp;IF($C50="","responsável, ","")&amp;IF($D50="","tipo, ","")&amp;IF($I50="","canal, ","")&amp;IF($H50="","município, ","")&amp;IF(AND($U50="Sim",$E50=""),"empresa, ","")&amp;IF(AND($U50="Sim",$F50=""),"editor, ","")&amp;IF(AND($K50="Concluído",$N50=""),"data de conclusão, ","")&amp;IF(AND($K50="Concluído",$R50=""),"link, ","")&amp;IF(AND($K50="Concluído",$L50=""),"quem liberou, ",""),LEN(IF($J50="","título, ","")&amp;IF($C50="","responsável, ","")&amp;IF($D50="","tipo, ","")&amp;IF($I50="","canal, ","")&amp;IF($H50="","município, ","")&amp;IF(AND($U50="Sim",$E50=""),"empresa, ","")&amp;IF(AND($U50="Sim",$F50=""),"editor, ","")&amp;IF(AND($K50="Concluído",$N50=""),"data de conclusão, ","")&amp;IF(AND($K50="Concluído",$R50=""),"link, ","")&amp;IF(AND($K50="Concluído",$L50=""),"quem liberou, ",""))-2)))</f>
        <v/>
      </c>
      <c r="R50" s="38"/>
      <c r="S50" s="38"/>
      <c r="T50" s="38"/>
      <c r="U50" s="40" t="str">
        <f aca="false">IF($A50="","",IFERROR(INDEX(Listas!$E$5:$E$64,MATCH($D50,Listas!$C$5:$C$64,0)),"Não"))</f>
        <v/>
      </c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9" t="str">
        <f aca="false">IF(OR($A51="",$D51=""),"",$A51+IFERROR(INDEX(Listas!$D$5:$D$64,MATCH($D51,Listas!$C$5:$C$64,0)),3))</f>
        <v/>
      </c>
      <c r="N51" s="37"/>
      <c r="O51" s="40" t="str">
        <f aca="false">IF($A51="","",IF($K51="Concluído","Sim","Não"))</f>
        <v/>
      </c>
      <c r="P51" s="40" t="str">
        <f aca="true">IF($A51="","",IF($K51="Stand-by","Stand-by",IF($K51="Concluído","Concluída",IF(AND($M51&lt;&gt;"",$M51&lt;TODAY()),"Atrasada","Em dia"))))</f>
        <v/>
      </c>
      <c r="Q51" s="40" t="str">
        <f aca="false">IF($A51="","",IF(LEN(IF($J51="","título, ","")&amp;IF($C51="","responsável, ","")&amp;IF($D51="","tipo, ","")&amp;IF($I51="","canal, ","")&amp;IF($H51="","município, ","")&amp;IF(AND($U51="Sim",$E51=""),"empresa, ","")&amp;IF(AND($U51="Sim",$F51=""),"editor, ","")&amp;IF(AND($K51="Concluído",$N51=""),"data de conclusão, ","")&amp;IF(AND($K51="Concluído",$R51=""),"link, ","")&amp;IF(AND($K51="Concluído",$L51=""),"quem liberou, ",""))=0,"OK","Falta "&amp;LEFT(IF($J51="","título, ","")&amp;IF($C51="","responsável, ","")&amp;IF($D51="","tipo, ","")&amp;IF($I51="","canal, ","")&amp;IF($H51="","município, ","")&amp;IF(AND($U51="Sim",$E51=""),"empresa, ","")&amp;IF(AND($U51="Sim",$F51=""),"editor, ","")&amp;IF(AND($K51="Concluído",$N51=""),"data de conclusão, ","")&amp;IF(AND($K51="Concluído",$R51=""),"link, ","")&amp;IF(AND($K51="Concluído",$L51=""),"quem liberou, ",""),LEN(IF($J51="","título, ","")&amp;IF($C51="","responsável, ","")&amp;IF($D51="","tipo, ","")&amp;IF($I51="","canal, ","")&amp;IF($H51="","município, ","")&amp;IF(AND($U51="Sim",$E51=""),"empresa, ","")&amp;IF(AND($U51="Sim",$F51=""),"editor, ","")&amp;IF(AND($K51="Concluído",$N51=""),"data de conclusão, ","")&amp;IF(AND($K51="Concluído",$R51=""),"link, ","")&amp;IF(AND($K51="Concluído",$L51=""),"quem liberou, ",""))-2)))</f>
        <v/>
      </c>
      <c r="R51" s="38"/>
      <c r="S51" s="38"/>
      <c r="T51" s="38"/>
      <c r="U51" s="40" t="str">
        <f aca="false">IF($A51="","",IFERROR(INDEX(Listas!$E$5:$E$64,MATCH($D51,Listas!$C$5:$C$64,0)),"Não"))</f>
        <v/>
      </c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9" t="str">
        <f aca="false">IF(OR($A52="",$D52=""),"",$A52+IFERROR(INDEX(Listas!$D$5:$D$64,MATCH($D52,Listas!$C$5:$C$64,0)),3))</f>
        <v/>
      </c>
      <c r="N52" s="37"/>
      <c r="O52" s="40" t="str">
        <f aca="false">IF($A52="","",IF($K52="Concluído","Sim","Não"))</f>
        <v/>
      </c>
      <c r="P52" s="40" t="str">
        <f aca="true">IF($A52="","",IF($K52="Stand-by","Stand-by",IF($K52="Concluído","Concluída",IF(AND($M52&lt;&gt;"",$M52&lt;TODAY()),"Atrasada","Em dia"))))</f>
        <v/>
      </c>
      <c r="Q52" s="40" t="str">
        <f aca="false">IF($A52="","",IF(LEN(IF($J52="","título, ","")&amp;IF($C52="","responsável, ","")&amp;IF($D52="","tipo, ","")&amp;IF($I52="","canal, ","")&amp;IF($H52="","município, ","")&amp;IF(AND($U52="Sim",$E52=""),"empresa, ","")&amp;IF(AND($U52="Sim",$F52=""),"editor, ","")&amp;IF(AND($K52="Concluído",$N52=""),"data de conclusão, ","")&amp;IF(AND($K52="Concluído",$R52=""),"link, ","")&amp;IF(AND($K52="Concluído",$L52=""),"quem liberou, ",""))=0,"OK","Falta "&amp;LEFT(IF($J52="","título, ","")&amp;IF($C52="","responsável, ","")&amp;IF($D52="","tipo, ","")&amp;IF($I52="","canal, ","")&amp;IF($H52="","município, ","")&amp;IF(AND($U52="Sim",$E52=""),"empresa, ","")&amp;IF(AND($U52="Sim",$F52=""),"editor, ","")&amp;IF(AND($K52="Concluído",$N52=""),"data de conclusão, ","")&amp;IF(AND($K52="Concluído",$R52=""),"link, ","")&amp;IF(AND($K52="Concluído",$L52=""),"quem liberou, ",""),LEN(IF($J52="","título, ","")&amp;IF($C52="","responsável, ","")&amp;IF($D52="","tipo, ","")&amp;IF($I52="","canal, ","")&amp;IF($H52="","município, ","")&amp;IF(AND($U52="Sim",$E52=""),"empresa, ","")&amp;IF(AND($U52="Sim",$F52=""),"editor, ","")&amp;IF(AND($K52="Concluído",$N52=""),"data de conclusão, ","")&amp;IF(AND($K52="Concluído",$R52=""),"link, ","")&amp;IF(AND($K52="Concluído",$L52=""),"quem liberou, ",""))-2)))</f>
        <v/>
      </c>
      <c r="R52" s="38"/>
      <c r="S52" s="38"/>
      <c r="T52" s="38"/>
      <c r="U52" s="40" t="str">
        <f aca="false">IF($A52="","",IFERROR(INDEX(Listas!$E$5:$E$64,MATCH($D52,Listas!$C$5:$C$64,0)),"Não"))</f>
        <v/>
      </c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9" t="str">
        <f aca="false">IF(OR($A53="",$D53=""),"",$A53+IFERROR(INDEX(Listas!$D$5:$D$64,MATCH($D53,Listas!$C$5:$C$64,0)),3))</f>
        <v/>
      </c>
      <c r="N53" s="37"/>
      <c r="O53" s="40" t="str">
        <f aca="false">IF($A53="","",IF($K53="Concluído","Sim","Não"))</f>
        <v/>
      </c>
      <c r="P53" s="40" t="str">
        <f aca="true">IF($A53="","",IF($K53="Stand-by","Stand-by",IF($K53="Concluído","Concluída",IF(AND($M53&lt;&gt;"",$M53&lt;TODAY()),"Atrasada","Em dia"))))</f>
        <v/>
      </c>
      <c r="Q53" s="40" t="str">
        <f aca="false">IF($A53="","",IF(LEN(IF($J53="","título, ","")&amp;IF($C53="","responsável, ","")&amp;IF($D53="","tipo, ","")&amp;IF($I53="","canal, ","")&amp;IF($H53="","município, ","")&amp;IF(AND($U53="Sim",$E53=""),"empresa, ","")&amp;IF(AND($U53="Sim",$F53=""),"editor, ","")&amp;IF(AND($K53="Concluído",$N53=""),"data de conclusão, ","")&amp;IF(AND($K53="Concluído",$R53=""),"link, ","")&amp;IF(AND($K53="Concluído",$L53=""),"quem liberou, ",""))=0,"OK","Falta "&amp;LEFT(IF($J53="","título, ","")&amp;IF($C53="","responsável, ","")&amp;IF($D53="","tipo, ","")&amp;IF($I53="","canal, ","")&amp;IF($H53="","município, ","")&amp;IF(AND($U53="Sim",$E53=""),"empresa, ","")&amp;IF(AND($U53="Sim",$F53=""),"editor, ","")&amp;IF(AND($K53="Concluído",$N53=""),"data de conclusão, ","")&amp;IF(AND($K53="Concluído",$R53=""),"link, ","")&amp;IF(AND($K53="Concluído",$L53=""),"quem liberou, ",""),LEN(IF($J53="","título, ","")&amp;IF($C53="","responsável, ","")&amp;IF($D53="","tipo, ","")&amp;IF($I53="","canal, ","")&amp;IF($H53="","município, ","")&amp;IF(AND($U53="Sim",$E53=""),"empresa, ","")&amp;IF(AND($U53="Sim",$F53=""),"editor, ","")&amp;IF(AND($K53="Concluído",$N53=""),"data de conclusão, ","")&amp;IF(AND($K53="Concluído",$R53=""),"link, ","")&amp;IF(AND($K53="Concluído",$L53=""),"quem liberou, ",""))-2)))</f>
        <v/>
      </c>
      <c r="R53" s="38"/>
      <c r="S53" s="38"/>
      <c r="T53" s="38"/>
      <c r="U53" s="40" t="str">
        <f aca="false">IF($A53="","",IFERROR(INDEX(Listas!$E$5:$E$64,MATCH($D53,Listas!$C$5:$C$64,0)),"Não"))</f>
        <v/>
      </c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9" t="str">
        <f aca="false">IF(OR($A54="",$D54=""),"",$A54+IFERROR(INDEX(Listas!$D$5:$D$64,MATCH($D54,Listas!$C$5:$C$64,0)),3))</f>
        <v/>
      </c>
      <c r="N54" s="37"/>
      <c r="O54" s="40" t="str">
        <f aca="false">IF($A54="","",IF($K54="Concluído","Sim","Não"))</f>
        <v/>
      </c>
      <c r="P54" s="40" t="str">
        <f aca="true">IF($A54="","",IF($K54="Stand-by","Stand-by",IF($K54="Concluído","Concluída",IF(AND($M54&lt;&gt;"",$M54&lt;TODAY()),"Atrasada","Em dia"))))</f>
        <v/>
      </c>
      <c r="Q54" s="40" t="str">
        <f aca="false">IF($A54="","",IF(LEN(IF($J54="","título, ","")&amp;IF($C54="","responsável, ","")&amp;IF($D54="","tipo, ","")&amp;IF($I54="","canal, ","")&amp;IF($H54="","município, ","")&amp;IF(AND($U54="Sim",$E54=""),"empresa, ","")&amp;IF(AND($U54="Sim",$F54=""),"editor, ","")&amp;IF(AND($K54="Concluído",$N54=""),"data de conclusão, ","")&amp;IF(AND($K54="Concluído",$R54=""),"link, ","")&amp;IF(AND($K54="Concluído",$L54=""),"quem liberou, ",""))=0,"OK","Falta "&amp;LEFT(IF($J54="","título, ","")&amp;IF($C54="","responsável, ","")&amp;IF($D54="","tipo, ","")&amp;IF($I54="","canal, ","")&amp;IF($H54="","município, ","")&amp;IF(AND($U54="Sim",$E54=""),"empresa, ","")&amp;IF(AND($U54="Sim",$F54=""),"editor, ","")&amp;IF(AND($K54="Concluído",$N54=""),"data de conclusão, ","")&amp;IF(AND($K54="Concluído",$R54=""),"link, ","")&amp;IF(AND($K54="Concluído",$L54=""),"quem liberou, ",""),LEN(IF($J54="","título, ","")&amp;IF($C54="","responsável, ","")&amp;IF($D54="","tipo, ","")&amp;IF($I54="","canal, ","")&amp;IF($H54="","município, ","")&amp;IF(AND($U54="Sim",$E54=""),"empresa, ","")&amp;IF(AND($U54="Sim",$F54=""),"editor, ","")&amp;IF(AND($K54="Concluído",$N54=""),"data de conclusão, ","")&amp;IF(AND($K54="Concluído",$R54=""),"link, ","")&amp;IF(AND($K54="Concluído",$L54=""),"quem liberou, ",""))-2)))</f>
        <v/>
      </c>
      <c r="R54" s="38"/>
      <c r="S54" s="38"/>
      <c r="T54" s="38"/>
      <c r="U54" s="40" t="str">
        <f aca="false">IF($A54="","",IFERROR(INDEX(Listas!$E$5:$E$64,MATCH($D54,Listas!$C$5:$C$64,0)),"Não"))</f>
        <v/>
      </c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9" t="str">
        <f aca="false">IF(OR($A55="",$D55=""),"",$A55+IFERROR(INDEX(Listas!$D$5:$D$64,MATCH($D55,Listas!$C$5:$C$64,0)),3))</f>
        <v/>
      </c>
      <c r="N55" s="37"/>
      <c r="O55" s="40" t="str">
        <f aca="false">IF($A55="","",IF($K55="Concluído","Sim","Não"))</f>
        <v/>
      </c>
      <c r="P55" s="40" t="str">
        <f aca="true">IF($A55="","",IF($K55="Stand-by","Stand-by",IF($K55="Concluído","Concluída",IF(AND($M55&lt;&gt;"",$M55&lt;TODAY()),"Atrasada","Em dia"))))</f>
        <v/>
      </c>
      <c r="Q55" s="40" t="str">
        <f aca="false">IF($A55="","",IF(LEN(IF($J55="","título, ","")&amp;IF($C55="","responsável, ","")&amp;IF($D55="","tipo, ","")&amp;IF($I55="","canal, ","")&amp;IF($H55="","município, ","")&amp;IF(AND($U55="Sim",$E55=""),"empresa, ","")&amp;IF(AND($U55="Sim",$F55=""),"editor, ","")&amp;IF(AND($K55="Concluído",$N55=""),"data de conclusão, ","")&amp;IF(AND($K55="Concluído",$R55=""),"link, ","")&amp;IF(AND($K55="Concluído",$L55=""),"quem liberou, ",""))=0,"OK","Falta "&amp;LEFT(IF($J55="","título, ","")&amp;IF($C55="","responsável, ","")&amp;IF($D55="","tipo, ","")&amp;IF($I55="","canal, ","")&amp;IF($H55="","município, ","")&amp;IF(AND($U55="Sim",$E55=""),"empresa, ","")&amp;IF(AND($U55="Sim",$F55=""),"editor, ","")&amp;IF(AND($K55="Concluído",$N55=""),"data de conclusão, ","")&amp;IF(AND($K55="Concluído",$R55=""),"link, ","")&amp;IF(AND($K55="Concluído",$L55=""),"quem liberou, ",""),LEN(IF($J55="","título, ","")&amp;IF($C55="","responsável, ","")&amp;IF($D55="","tipo, ","")&amp;IF($I55="","canal, ","")&amp;IF($H55="","município, ","")&amp;IF(AND($U55="Sim",$E55=""),"empresa, ","")&amp;IF(AND($U55="Sim",$F55=""),"editor, ","")&amp;IF(AND($K55="Concluído",$N55=""),"data de conclusão, ","")&amp;IF(AND($K55="Concluído",$R55=""),"link, ","")&amp;IF(AND($K55="Concluído",$L55=""),"quem liberou, ",""))-2)))</f>
        <v/>
      </c>
      <c r="R55" s="38"/>
      <c r="S55" s="38"/>
      <c r="T55" s="38"/>
      <c r="U55" s="40" t="str">
        <f aca="false">IF($A55="","",IFERROR(INDEX(Listas!$E$5:$E$64,MATCH($D55,Listas!$C$5:$C$64,0)),"Não"))</f>
        <v/>
      </c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9" t="str">
        <f aca="false">IF(OR($A56="",$D56=""),"",$A56+IFERROR(INDEX(Listas!$D$5:$D$64,MATCH($D56,Listas!$C$5:$C$64,0)),3))</f>
        <v/>
      </c>
      <c r="N56" s="37"/>
      <c r="O56" s="40" t="str">
        <f aca="false">IF($A56="","",IF($K56="Concluído","Sim","Não"))</f>
        <v/>
      </c>
      <c r="P56" s="40" t="str">
        <f aca="true">IF($A56="","",IF($K56="Stand-by","Stand-by",IF($K56="Concluído","Concluída",IF(AND($M56&lt;&gt;"",$M56&lt;TODAY()),"Atrasada","Em dia"))))</f>
        <v/>
      </c>
      <c r="Q56" s="40" t="str">
        <f aca="false">IF($A56="","",IF(LEN(IF($J56="","título, ","")&amp;IF($C56="","responsável, ","")&amp;IF($D56="","tipo, ","")&amp;IF($I56="","canal, ","")&amp;IF($H56="","município, ","")&amp;IF(AND($U56="Sim",$E56=""),"empresa, ","")&amp;IF(AND($U56="Sim",$F56=""),"editor, ","")&amp;IF(AND($K56="Concluído",$N56=""),"data de conclusão, ","")&amp;IF(AND($K56="Concluído",$R56=""),"link, ","")&amp;IF(AND($K56="Concluído",$L56=""),"quem liberou, ",""))=0,"OK","Falta "&amp;LEFT(IF($J56="","título, ","")&amp;IF($C56="","responsável, ","")&amp;IF($D56="","tipo, ","")&amp;IF($I56="","canal, ","")&amp;IF($H56="","município, ","")&amp;IF(AND($U56="Sim",$E56=""),"empresa, ","")&amp;IF(AND($U56="Sim",$F56=""),"editor, ","")&amp;IF(AND($K56="Concluído",$N56=""),"data de conclusão, ","")&amp;IF(AND($K56="Concluído",$R56=""),"link, ","")&amp;IF(AND($K56="Concluído",$L56=""),"quem liberou, ",""),LEN(IF($J56="","título, ","")&amp;IF($C56="","responsável, ","")&amp;IF($D56="","tipo, ","")&amp;IF($I56="","canal, ","")&amp;IF($H56="","município, ","")&amp;IF(AND($U56="Sim",$E56=""),"empresa, ","")&amp;IF(AND($U56="Sim",$F56=""),"editor, ","")&amp;IF(AND($K56="Concluído",$N56=""),"data de conclusão, ","")&amp;IF(AND($K56="Concluído",$R56=""),"link, ","")&amp;IF(AND($K56="Concluído",$L56=""),"quem liberou, ",""))-2)))</f>
        <v/>
      </c>
      <c r="R56" s="38"/>
      <c r="S56" s="38"/>
      <c r="T56" s="38"/>
      <c r="U56" s="40" t="str">
        <f aca="false">IF($A56="","",IFERROR(INDEX(Listas!$E$5:$E$64,MATCH($D56,Listas!$C$5:$C$64,0)),"Não"))</f>
        <v/>
      </c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9" t="str">
        <f aca="false">IF(OR($A57="",$D57=""),"",$A57+IFERROR(INDEX(Listas!$D$5:$D$64,MATCH($D57,Listas!$C$5:$C$64,0)),3))</f>
        <v/>
      </c>
      <c r="N57" s="37"/>
      <c r="O57" s="40" t="str">
        <f aca="false">IF($A57="","",IF($K57="Concluído","Sim","Não"))</f>
        <v/>
      </c>
      <c r="P57" s="40" t="str">
        <f aca="true">IF($A57="","",IF($K57="Stand-by","Stand-by",IF($K57="Concluído","Concluída",IF(AND($M57&lt;&gt;"",$M57&lt;TODAY()),"Atrasada","Em dia"))))</f>
        <v/>
      </c>
      <c r="Q57" s="40" t="str">
        <f aca="false">IF($A57="","",IF(LEN(IF($J57="","título, ","")&amp;IF($C57="","responsável, ","")&amp;IF($D57="","tipo, ","")&amp;IF($I57="","canal, ","")&amp;IF($H57="","município, ","")&amp;IF(AND($U57="Sim",$E57=""),"empresa, ","")&amp;IF(AND($U57="Sim",$F57=""),"editor, ","")&amp;IF(AND($K57="Concluído",$N57=""),"data de conclusão, ","")&amp;IF(AND($K57="Concluído",$R57=""),"link, ","")&amp;IF(AND($K57="Concluído",$L57=""),"quem liberou, ",""))=0,"OK","Falta "&amp;LEFT(IF($J57="","título, ","")&amp;IF($C57="","responsável, ","")&amp;IF($D57="","tipo, ","")&amp;IF($I57="","canal, ","")&amp;IF($H57="","município, ","")&amp;IF(AND($U57="Sim",$E57=""),"empresa, ","")&amp;IF(AND($U57="Sim",$F57=""),"editor, ","")&amp;IF(AND($K57="Concluído",$N57=""),"data de conclusão, ","")&amp;IF(AND($K57="Concluído",$R57=""),"link, ","")&amp;IF(AND($K57="Concluído",$L57=""),"quem liberou, ",""),LEN(IF($J57="","título, ","")&amp;IF($C57="","responsável, ","")&amp;IF($D57="","tipo, ","")&amp;IF($I57="","canal, ","")&amp;IF($H57="","município, ","")&amp;IF(AND($U57="Sim",$E57=""),"empresa, ","")&amp;IF(AND($U57="Sim",$F57=""),"editor, ","")&amp;IF(AND($K57="Concluído",$N57=""),"data de conclusão, ","")&amp;IF(AND($K57="Concluído",$R57=""),"link, ","")&amp;IF(AND($K57="Concluído",$L57=""),"quem liberou, ",""))-2)))</f>
        <v/>
      </c>
      <c r="R57" s="38"/>
      <c r="S57" s="38"/>
      <c r="T57" s="38"/>
      <c r="U57" s="40" t="str">
        <f aca="false">IF($A57="","",IFERROR(INDEX(Listas!$E$5:$E$64,MATCH($D57,Listas!$C$5:$C$64,0)),"Não"))</f>
        <v/>
      </c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9" t="str">
        <f aca="false">IF(OR($A58="",$D58=""),"",$A58+IFERROR(INDEX(Listas!$D$5:$D$64,MATCH($D58,Listas!$C$5:$C$64,0)),3))</f>
        <v/>
      </c>
      <c r="N58" s="37"/>
      <c r="O58" s="40" t="str">
        <f aca="false">IF($A58="","",IF($K58="Concluído","Sim","Não"))</f>
        <v/>
      </c>
      <c r="P58" s="40" t="str">
        <f aca="true">IF($A58="","",IF($K58="Stand-by","Stand-by",IF($K58="Concluído","Concluída",IF(AND($M58&lt;&gt;"",$M58&lt;TODAY()),"Atrasada","Em dia"))))</f>
        <v/>
      </c>
      <c r="Q58" s="40" t="str">
        <f aca="false">IF($A58="","",IF(LEN(IF($J58="","título, ","")&amp;IF($C58="","responsável, ","")&amp;IF($D58="","tipo, ","")&amp;IF($I58="","canal, ","")&amp;IF($H58="","município, ","")&amp;IF(AND($U58="Sim",$E58=""),"empresa, ","")&amp;IF(AND($U58="Sim",$F58=""),"editor, ","")&amp;IF(AND($K58="Concluído",$N58=""),"data de conclusão, ","")&amp;IF(AND($K58="Concluído",$R58=""),"link, ","")&amp;IF(AND($K58="Concluído",$L58=""),"quem liberou, ",""))=0,"OK","Falta "&amp;LEFT(IF($J58="","título, ","")&amp;IF($C58="","responsável, ","")&amp;IF($D58="","tipo, ","")&amp;IF($I58="","canal, ","")&amp;IF($H58="","município, ","")&amp;IF(AND($U58="Sim",$E58=""),"empresa, ","")&amp;IF(AND($U58="Sim",$F58=""),"editor, ","")&amp;IF(AND($K58="Concluído",$N58=""),"data de conclusão, ","")&amp;IF(AND($K58="Concluído",$R58=""),"link, ","")&amp;IF(AND($K58="Concluído",$L58=""),"quem liberou, ",""),LEN(IF($J58="","título, ","")&amp;IF($C58="","responsável, ","")&amp;IF($D58="","tipo, ","")&amp;IF($I58="","canal, ","")&amp;IF($H58="","município, ","")&amp;IF(AND($U58="Sim",$E58=""),"empresa, ","")&amp;IF(AND($U58="Sim",$F58=""),"editor, ","")&amp;IF(AND($K58="Concluído",$N58=""),"data de conclusão, ","")&amp;IF(AND($K58="Concluído",$R58=""),"link, ","")&amp;IF(AND($K58="Concluído",$L58=""),"quem liberou, ",""))-2)))</f>
        <v/>
      </c>
      <c r="R58" s="38"/>
      <c r="S58" s="38"/>
      <c r="T58" s="38"/>
      <c r="U58" s="40" t="str">
        <f aca="false">IF($A58="","",IFERROR(INDEX(Listas!$E$5:$E$64,MATCH($D58,Listas!$C$5:$C$64,0)),"Não"))</f>
        <v/>
      </c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9" t="str">
        <f aca="false">IF(OR($A59="",$D59=""),"",$A59+IFERROR(INDEX(Listas!$D$5:$D$64,MATCH($D59,Listas!$C$5:$C$64,0)),3))</f>
        <v/>
      </c>
      <c r="N59" s="37"/>
      <c r="O59" s="40" t="str">
        <f aca="false">IF($A59="","",IF($K59="Concluído","Sim","Não"))</f>
        <v/>
      </c>
      <c r="P59" s="40" t="str">
        <f aca="true">IF($A59="","",IF($K59="Stand-by","Stand-by",IF($K59="Concluído","Concluída",IF(AND($M59&lt;&gt;"",$M59&lt;TODAY()),"Atrasada","Em dia"))))</f>
        <v/>
      </c>
      <c r="Q59" s="40" t="str">
        <f aca="false">IF($A59="","",IF(LEN(IF($J59="","título, ","")&amp;IF($C59="","responsável, ","")&amp;IF($D59="","tipo, ","")&amp;IF($I59="","canal, ","")&amp;IF($H59="","município, ","")&amp;IF(AND($U59="Sim",$E59=""),"empresa, ","")&amp;IF(AND($U59="Sim",$F59=""),"editor, ","")&amp;IF(AND($K59="Concluído",$N59=""),"data de conclusão, ","")&amp;IF(AND($K59="Concluído",$R59=""),"link, ","")&amp;IF(AND($K59="Concluído",$L59=""),"quem liberou, ",""))=0,"OK","Falta "&amp;LEFT(IF($J59="","título, ","")&amp;IF($C59="","responsável, ","")&amp;IF($D59="","tipo, ","")&amp;IF($I59="","canal, ","")&amp;IF($H59="","município, ","")&amp;IF(AND($U59="Sim",$E59=""),"empresa, ","")&amp;IF(AND($U59="Sim",$F59=""),"editor, ","")&amp;IF(AND($K59="Concluído",$N59=""),"data de conclusão, ","")&amp;IF(AND($K59="Concluído",$R59=""),"link, ","")&amp;IF(AND($K59="Concluído",$L59=""),"quem liberou, ",""),LEN(IF($J59="","título, ","")&amp;IF($C59="","responsável, ","")&amp;IF($D59="","tipo, ","")&amp;IF($I59="","canal, ","")&amp;IF($H59="","município, ","")&amp;IF(AND($U59="Sim",$E59=""),"empresa, ","")&amp;IF(AND($U59="Sim",$F59=""),"editor, ","")&amp;IF(AND($K59="Concluído",$N59=""),"data de conclusão, ","")&amp;IF(AND($K59="Concluído",$R59=""),"link, ","")&amp;IF(AND($K59="Concluído",$L59=""),"quem liberou, ",""))-2)))</f>
        <v/>
      </c>
      <c r="R59" s="38"/>
      <c r="S59" s="38"/>
      <c r="T59" s="38"/>
      <c r="U59" s="40" t="str">
        <f aca="false">IF($A59="","",IFERROR(INDEX(Listas!$E$5:$E$64,MATCH($D59,Listas!$C$5:$C$64,0)),"Não"))</f>
        <v/>
      </c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9" t="str">
        <f aca="false">IF(OR($A60="",$D60=""),"",$A60+IFERROR(INDEX(Listas!$D$5:$D$64,MATCH($D60,Listas!$C$5:$C$64,0)),3))</f>
        <v/>
      </c>
      <c r="N60" s="37"/>
      <c r="O60" s="40" t="str">
        <f aca="false">IF($A60="","",IF($K60="Concluído","Sim","Não"))</f>
        <v/>
      </c>
      <c r="P60" s="40" t="str">
        <f aca="true">IF($A60="","",IF($K60="Stand-by","Stand-by",IF($K60="Concluído","Concluída",IF(AND($M60&lt;&gt;"",$M60&lt;TODAY()),"Atrasada","Em dia"))))</f>
        <v/>
      </c>
      <c r="Q60" s="40" t="str">
        <f aca="false">IF($A60="","",IF(LEN(IF($J60="","título, ","")&amp;IF($C60="","responsável, ","")&amp;IF($D60="","tipo, ","")&amp;IF($I60="","canal, ","")&amp;IF($H60="","município, ","")&amp;IF(AND($U60="Sim",$E60=""),"empresa, ","")&amp;IF(AND($U60="Sim",$F60=""),"editor, ","")&amp;IF(AND($K60="Concluído",$N60=""),"data de conclusão, ","")&amp;IF(AND($K60="Concluído",$R60=""),"link, ","")&amp;IF(AND($K60="Concluído",$L60=""),"quem liberou, ",""))=0,"OK","Falta "&amp;LEFT(IF($J60="","título, ","")&amp;IF($C60="","responsável, ","")&amp;IF($D60="","tipo, ","")&amp;IF($I60="","canal, ","")&amp;IF($H60="","município, ","")&amp;IF(AND($U60="Sim",$E60=""),"empresa, ","")&amp;IF(AND($U60="Sim",$F60=""),"editor, ","")&amp;IF(AND($K60="Concluído",$N60=""),"data de conclusão, ","")&amp;IF(AND($K60="Concluído",$R60=""),"link, ","")&amp;IF(AND($K60="Concluído",$L60=""),"quem liberou, ",""),LEN(IF($J60="","título, ","")&amp;IF($C60="","responsável, ","")&amp;IF($D60="","tipo, ","")&amp;IF($I60="","canal, ","")&amp;IF($H60="","município, ","")&amp;IF(AND($U60="Sim",$E60=""),"empresa, ","")&amp;IF(AND($U60="Sim",$F60=""),"editor, ","")&amp;IF(AND($K60="Concluído",$N60=""),"data de conclusão, ","")&amp;IF(AND($K60="Concluído",$R60=""),"link, ","")&amp;IF(AND($K60="Concluído",$L60=""),"quem liberou, ",""))-2)))</f>
        <v/>
      </c>
      <c r="R60" s="38"/>
      <c r="S60" s="38"/>
      <c r="T60" s="38"/>
      <c r="U60" s="40" t="str">
        <f aca="false">IF($A60="","",IFERROR(INDEX(Listas!$E$5:$E$64,MATCH($D60,Listas!$C$5:$C$64,0)),"Não"))</f>
        <v/>
      </c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9" t="str">
        <f aca="false">IF(OR($A61="",$D61=""),"",$A61+IFERROR(INDEX(Listas!$D$5:$D$64,MATCH($D61,Listas!$C$5:$C$64,0)),3))</f>
        <v/>
      </c>
      <c r="N61" s="37"/>
      <c r="O61" s="40" t="str">
        <f aca="false">IF($A61="","",IF($K61="Concluído","Sim","Não"))</f>
        <v/>
      </c>
      <c r="P61" s="40" t="str">
        <f aca="true">IF($A61="","",IF($K61="Stand-by","Stand-by",IF($K61="Concluído","Concluída",IF(AND($M61&lt;&gt;"",$M61&lt;TODAY()),"Atrasada","Em dia"))))</f>
        <v/>
      </c>
      <c r="Q61" s="40" t="str">
        <f aca="false">IF($A61="","",IF(LEN(IF($J61="","título, ","")&amp;IF($C61="","responsável, ","")&amp;IF($D61="","tipo, ","")&amp;IF($I61="","canal, ","")&amp;IF($H61="","município, ","")&amp;IF(AND($U61="Sim",$E61=""),"empresa, ","")&amp;IF(AND($U61="Sim",$F61=""),"editor, ","")&amp;IF(AND($K61="Concluído",$N61=""),"data de conclusão, ","")&amp;IF(AND($K61="Concluído",$R61=""),"link, ","")&amp;IF(AND($K61="Concluído",$L61=""),"quem liberou, ",""))=0,"OK","Falta "&amp;LEFT(IF($J61="","título, ","")&amp;IF($C61="","responsável, ","")&amp;IF($D61="","tipo, ","")&amp;IF($I61="","canal, ","")&amp;IF($H61="","município, ","")&amp;IF(AND($U61="Sim",$E61=""),"empresa, ","")&amp;IF(AND($U61="Sim",$F61=""),"editor, ","")&amp;IF(AND($K61="Concluído",$N61=""),"data de conclusão, ","")&amp;IF(AND($K61="Concluído",$R61=""),"link, ","")&amp;IF(AND($K61="Concluído",$L61=""),"quem liberou, ",""),LEN(IF($J61="","título, ","")&amp;IF($C61="","responsável, ","")&amp;IF($D61="","tipo, ","")&amp;IF($I61="","canal, ","")&amp;IF($H61="","município, ","")&amp;IF(AND($U61="Sim",$E61=""),"empresa, ","")&amp;IF(AND($U61="Sim",$F61=""),"editor, ","")&amp;IF(AND($K61="Concluído",$N61=""),"data de conclusão, ","")&amp;IF(AND($K61="Concluído",$R61=""),"link, ","")&amp;IF(AND($K61="Concluído",$L61=""),"quem liberou, ",""))-2)))</f>
        <v/>
      </c>
      <c r="R61" s="38"/>
      <c r="S61" s="38"/>
      <c r="T61" s="38"/>
      <c r="U61" s="40" t="str">
        <f aca="false">IF($A61="","",IFERROR(INDEX(Listas!$E$5:$E$64,MATCH($D61,Listas!$C$5:$C$64,0)),"Não"))</f>
        <v/>
      </c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9" t="str">
        <f aca="false">IF(OR($A62="",$D62=""),"",$A62+IFERROR(INDEX(Listas!$D$5:$D$64,MATCH($D62,Listas!$C$5:$C$64,0)),3))</f>
        <v/>
      </c>
      <c r="N62" s="37"/>
      <c r="O62" s="40" t="str">
        <f aca="false">IF($A62="","",IF($K62="Concluído","Sim","Não"))</f>
        <v/>
      </c>
      <c r="P62" s="40" t="str">
        <f aca="true">IF($A62="","",IF($K62="Stand-by","Stand-by",IF($K62="Concluído","Concluída",IF(AND($M62&lt;&gt;"",$M62&lt;TODAY()),"Atrasada","Em dia"))))</f>
        <v/>
      </c>
      <c r="Q62" s="40" t="str">
        <f aca="false">IF($A62="","",IF(LEN(IF($J62="","título, ","")&amp;IF($C62="","responsável, ","")&amp;IF($D62="","tipo, ","")&amp;IF($I62="","canal, ","")&amp;IF($H62="","município, ","")&amp;IF(AND($U62="Sim",$E62=""),"empresa, ","")&amp;IF(AND($U62="Sim",$F62=""),"editor, ","")&amp;IF(AND($K62="Concluído",$N62=""),"data de conclusão, ","")&amp;IF(AND($K62="Concluído",$R62=""),"link, ","")&amp;IF(AND($K62="Concluído",$L62=""),"quem liberou, ",""))=0,"OK","Falta "&amp;LEFT(IF($J62="","título, ","")&amp;IF($C62="","responsável, ","")&amp;IF($D62="","tipo, ","")&amp;IF($I62="","canal, ","")&amp;IF($H62="","município, ","")&amp;IF(AND($U62="Sim",$E62=""),"empresa, ","")&amp;IF(AND($U62="Sim",$F62=""),"editor, ","")&amp;IF(AND($K62="Concluído",$N62=""),"data de conclusão, ","")&amp;IF(AND($K62="Concluído",$R62=""),"link, ","")&amp;IF(AND($K62="Concluído",$L62=""),"quem liberou, ",""),LEN(IF($J62="","título, ","")&amp;IF($C62="","responsável, ","")&amp;IF($D62="","tipo, ","")&amp;IF($I62="","canal, ","")&amp;IF($H62="","município, ","")&amp;IF(AND($U62="Sim",$E62=""),"empresa, ","")&amp;IF(AND($U62="Sim",$F62=""),"editor, ","")&amp;IF(AND($K62="Concluído",$N62=""),"data de conclusão, ","")&amp;IF(AND($K62="Concluído",$R62=""),"link, ","")&amp;IF(AND($K62="Concluído",$L62=""),"quem liberou, ",""))-2)))</f>
        <v/>
      </c>
      <c r="R62" s="38"/>
      <c r="S62" s="38"/>
      <c r="T62" s="38"/>
      <c r="U62" s="40" t="str">
        <f aca="false">IF($A62="","",IFERROR(INDEX(Listas!$E$5:$E$64,MATCH($D62,Listas!$C$5:$C$64,0)),"Não"))</f>
        <v/>
      </c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9" t="str">
        <f aca="false">IF(OR($A63="",$D63=""),"",$A63+IFERROR(INDEX(Listas!$D$5:$D$64,MATCH($D63,Listas!$C$5:$C$64,0)),3))</f>
        <v/>
      </c>
      <c r="N63" s="37"/>
      <c r="O63" s="40" t="str">
        <f aca="false">IF($A63="","",IF($K63="Concluído","Sim","Não"))</f>
        <v/>
      </c>
      <c r="P63" s="40" t="str">
        <f aca="true">IF($A63="","",IF($K63="Stand-by","Stand-by",IF($K63="Concluído","Concluída",IF(AND($M63&lt;&gt;"",$M63&lt;TODAY()),"Atrasada","Em dia"))))</f>
        <v/>
      </c>
      <c r="Q63" s="40" t="str">
        <f aca="false">IF($A63="","",IF(LEN(IF($J63="","título, ","")&amp;IF($C63="","responsável, ","")&amp;IF($D63="","tipo, ","")&amp;IF($I63="","canal, ","")&amp;IF($H63="","município, ","")&amp;IF(AND($U63="Sim",$E63=""),"empresa, ","")&amp;IF(AND($U63="Sim",$F63=""),"editor, ","")&amp;IF(AND($K63="Concluído",$N63=""),"data de conclusão, ","")&amp;IF(AND($K63="Concluído",$R63=""),"link, ","")&amp;IF(AND($K63="Concluído",$L63=""),"quem liberou, ",""))=0,"OK","Falta "&amp;LEFT(IF($J63="","título, ","")&amp;IF($C63="","responsável, ","")&amp;IF($D63="","tipo, ","")&amp;IF($I63="","canal, ","")&amp;IF($H63="","município, ","")&amp;IF(AND($U63="Sim",$E63=""),"empresa, ","")&amp;IF(AND($U63="Sim",$F63=""),"editor, ","")&amp;IF(AND($K63="Concluído",$N63=""),"data de conclusão, ","")&amp;IF(AND($K63="Concluído",$R63=""),"link, ","")&amp;IF(AND($K63="Concluído",$L63=""),"quem liberou, ",""),LEN(IF($J63="","título, ","")&amp;IF($C63="","responsável, ","")&amp;IF($D63="","tipo, ","")&amp;IF($I63="","canal, ","")&amp;IF($H63="","município, ","")&amp;IF(AND($U63="Sim",$E63=""),"empresa, ","")&amp;IF(AND($U63="Sim",$F63=""),"editor, ","")&amp;IF(AND($K63="Concluído",$N63=""),"data de conclusão, ","")&amp;IF(AND($K63="Concluído",$R63=""),"link, ","")&amp;IF(AND($K63="Concluído",$L63=""),"quem liberou, ",""))-2)))</f>
        <v/>
      </c>
      <c r="R63" s="38"/>
      <c r="S63" s="38"/>
      <c r="T63" s="38"/>
      <c r="U63" s="40" t="str">
        <f aca="false">IF($A63="","",IFERROR(INDEX(Listas!$E$5:$E$64,MATCH($D63,Listas!$C$5:$C$64,0)),"Não"))</f>
        <v/>
      </c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9" t="str">
        <f aca="false">IF(OR($A64="",$D64=""),"",$A64+IFERROR(INDEX(Listas!$D$5:$D$64,MATCH($D64,Listas!$C$5:$C$64,0)),3))</f>
        <v/>
      </c>
      <c r="N64" s="37"/>
      <c r="O64" s="40" t="str">
        <f aca="false">IF($A64="","",IF($K64="Concluído","Sim","Não"))</f>
        <v/>
      </c>
      <c r="P64" s="40" t="str">
        <f aca="true">IF($A64="","",IF($K64="Stand-by","Stand-by",IF($K64="Concluído","Concluída",IF(AND($M64&lt;&gt;"",$M64&lt;TODAY()),"Atrasada","Em dia"))))</f>
        <v/>
      </c>
      <c r="Q64" s="40" t="str">
        <f aca="false">IF($A64="","",IF(LEN(IF($J64="","título, ","")&amp;IF($C64="","responsável, ","")&amp;IF($D64="","tipo, ","")&amp;IF($I64="","canal, ","")&amp;IF($H64="","município, ","")&amp;IF(AND($U64="Sim",$E64=""),"empresa, ","")&amp;IF(AND($U64="Sim",$F64=""),"editor, ","")&amp;IF(AND($K64="Concluído",$N64=""),"data de conclusão, ","")&amp;IF(AND($K64="Concluído",$R64=""),"link, ","")&amp;IF(AND($K64="Concluído",$L64=""),"quem liberou, ",""))=0,"OK","Falta "&amp;LEFT(IF($J64="","título, ","")&amp;IF($C64="","responsável, ","")&amp;IF($D64="","tipo, ","")&amp;IF($I64="","canal, ","")&amp;IF($H64="","município, ","")&amp;IF(AND($U64="Sim",$E64=""),"empresa, ","")&amp;IF(AND($U64="Sim",$F64=""),"editor, ","")&amp;IF(AND($K64="Concluído",$N64=""),"data de conclusão, ","")&amp;IF(AND($K64="Concluído",$R64=""),"link, ","")&amp;IF(AND($K64="Concluído",$L64=""),"quem liberou, ",""),LEN(IF($J64="","título, ","")&amp;IF($C64="","responsável, ","")&amp;IF($D64="","tipo, ","")&amp;IF($I64="","canal, ","")&amp;IF($H64="","município, ","")&amp;IF(AND($U64="Sim",$E64=""),"empresa, ","")&amp;IF(AND($U64="Sim",$F64=""),"editor, ","")&amp;IF(AND($K64="Concluído",$N64=""),"data de conclusão, ","")&amp;IF(AND($K64="Concluído",$R64=""),"link, ","")&amp;IF(AND($K64="Concluído",$L64=""),"quem liberou, ",""))-2)))</f>
        <v/>
      </c>
      <c r="R64" s="38"/>
      <c r="S64" s="38"/>
      <c r="T64" s="38"/>
      <c r="U64" s="40" t="str">
        <f aca="false">IF($A64="","",IFERROR(INDEX(Listas!$E$5:$E$64,MATCH($D64,Listas!$C$5:$C$64,0)),"Não"))</f>
        <v/>
      </c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9" t="str">
        <f aca="false">IF(OR($A65="",$D65=""),"",$A65+IFERROR(INDEX(Listas!$D$5:$D$64,MATCH($D65,Listas!$C$5:$C$64,0)),3))</f>
        <v/>
      </c>
      <c r="N65" s="37"/>
      <c r="O65" s="40" t="str">
        <f aca="false">IF($A65="","",IF($K65="Concluído","Sim","Não"))</f>
        <v/>
      </c>
      <c r="P65" s="40" t="str">
        <f aca="true">IF($A65="","",IF($K65="Stand-by","Stand-by",IF($K65="Concluído","Concluída",IF(AND($M65&lt;&gt;"",$M65&lt;TODAY()),"Atrasada","Em dia"))))</f>
        <v/>
      </c>
      <c r="Q65" s="40" t="str">
        <f aca="false">IF($A65="","",IF(LEN(IF($J65="","título, ","")&amp;IF($C65="","responsável, ","")&amp;IF($D65="","tipo, ","")&amp;IF($I65="","canal, ","")&amp;IF($H65="","município, ","")&amp;IF(AND($U65="Sim",$E65=""),"empresa, ","")&amp;IF(AND($U65="Sim",$F65=""),"editor, ","")&amp;IF(AND($K65="Concluído",$N65=""),"data de conclusão, ","")&amp;IF(AND($K65="Concluído",$R65=""),"link, ","")&amp;IF(AND($K65="Concluído",$L65=""),"quem liberou, ",""))=0,"OK","Falta "&amp;LEFT(IF($J65="","título, ","")&amp;IF($C65="","responsável, ","")&amp;IF($D65="","tipo, ","")&amp;IF($I65="","canal, ","")&amp;IF($H65="","município, ","")&amp;IF(AND($U65="Sim",$E65=""),"empresa, ","")&amp;IF(AND($U65="Sim",$F65=""),"editor, ","")&amp;IF(AND($K65="Concluído",$N65=""),"data de conclusão, ","")&amp;IF(AND($K65="Concluído",$R65=""),"link, ","")&amp;IF(AND($K65="Concluído",$L65=""),"quem liberou, ",""),LEN(IF($J65="","título, ","")&amp;IF($C65="","responsável, ","")&amp;IF($D65="","tipo, ","")&amp;IF($I65="","canal, ","")&amp;IF($H65="","município, ","")&amp;IF(AND($U65="Sim",$E65=""),"empresa, ","")&amp;IF(AND($U65="Sim",$F65=""),"editor, ","")&amp;IF(AND($K65="Concluído",$N65=""),"data de conclusão, ","")&amp;IF(AND($K65="Concluído",$R65=""),"link, ","")&amp;IF(AND($K65="Concluído",$L65=""),"quem liberou, ",""))-2)))</f>
        <v/>
      </c>
      <c r="R65" s="38"/>
      <c r="S65" s="38"/>
      <c r="T65" s="38"/>
      <c r="U65" s="40" t="str">
        <f aca="false">IF($A65="","",IFERROR(INDEX(Listas!$E$5:$E$64,MATCH($D65,Listas!$C$5:$C$64,0)),"Não"))</f>
        <v/>
      </c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9" t="str">
        <f aca="false">IF(OR($A66="",$D66=""),"",$A66+IFERROR(INDEX(Listas!$D$5:$D$64,MATCH($D66,Listas!$C$5:$C$64,0)),3))</f>
        <v/>
      </c>
      <c r="N66" s="37"/>
      <c r="O66" s="40" t="str">
        <f aca="false">IF($A66="","",IF($K66="Concluído","Sim","Não"))</f>
        <v/>
      </c>
      <c r="P66" s="40" t="str">
        <f aca="true">IF($A66="","",IF($K66="Stand-by","Stand-by",IF($K66="Concluído","Concluída",IF(AND($M66&lt;&gt;"",$M66&lt;TODAY()),"Atrasada","Em dia"))))</f>
        <v/>
      </c>
      <c r="Q66" s="40" t="str">
        <f aca="false">IF($A66="","",IF(LEN(IF($J66="","título, ","")&amp;IF($C66="","responsável, ","")&amp;IF($D66="","tipo, ","")&amp;IF($I66="","canal, ","")&amp;IF($H66="","município, ","")&amp;IF(AND($U66="Sim",$E66=""),"empresa, ","")&amp;IF(AND($U66="Sim",$F66=""),"editor, ","")&amp;IF(AND($K66="Concluído",$N66=""),"data de conclusão, ","")&amp;IF(AND($K66="Concluído",$R66=""),"link, ","")&amp;IF(AND($K66="Concluído",$L66=""),"quem liberou, ",""))=0,"OK","Falta "&amp;LEFT(IF($J66="","título, ","")&amp;IF($C66="","responsável, ","")&amp;IF($D66="","tipo, ","")&amp;IF($I66="","canal, ","")&amp;IF($H66="","município, ","")&amp;IF(AND($U66="Sim",$E66=""),"empresa, ","")&amp;IF(AND($U66="Sim",$F66=""),"editor, ","")&amp;IF(AND($K66="Concluído",$N66=""),"data de conclusão, ","")&amp;IF(AND($K66="Concluído",$R66=""),"link, ","")&amp;IF(AND($K66="Concluído",$L66=""),"quem liberou, ",""),LEN(IF($J66="","título, ","")&amp;IF($C66="","responsável, ","")&amp;IF($D66="","tipo, ","")&amp;IF($I66="","canal, ","")&amp;IF($H66="","município, ","")&amp;IF(AND($U66="Sim",$E66=""),"empresa, ","")&amp;IF(AND($U66="Sim",$F66=""),"editor, ","")&amp;IF(AND($K66="Concluído",$N66=""),"data de conclusão, ","")&amp;IF(AND($K66="Concluído",$R66=""),"link, ","")&amp;IF(AND($K66="Concluído",$L66=""),"quem liberou, ",""))-2)))</f>
        <v/>
      </c>
      <c r="R66" s="38"/>
      <c r="S66" s="38"/>
      <c r="T66" s="38"/>
      <c r="U66" s="40" t="str">
        <f aca="false">IF($A66="","",IFERROR(INDEX(Listas!$E$5:$E$64,MATCH($D66,Listas!$C$5:$C$64,0)),"Não"))</f>
        <v/>
      </c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9" t="str">
        <f aca="false">IF(OR($A67="",$D67=""),"",$A67+IFERROR(INDEX(Listas!$D$5:$D$64,MATCH($D67,Listas!$C$5:$C$64,0)),3))</f>
        <v/>
      </c>
      <c r="N67" s="37"/>
      <c r="O67" s="40" t="str">
        <f aca="false">IF($A67="","",IF($K67="Concluído","Sim","Não"))</f>
        <v/>
      </c>
      <c r="P67" s="40" t="str">
        <f aca="true">IF($A67="","",IF($K67="Stand-by","Stand-by",IF($K67="Concluído","Concluída",IF(AND($M67&lt;&gt;"",$M67&lt;TODAY()),"Atrasada","Em dia"))))</f>
        <v/>
      </c>
      <c r="Q67" s="40" t="str">
        <f aca="false">IF($A67="","",IF(LEN(IF($J67="","título, ","")&amp;IF($C67="","responsável, ","")&amp;IF($D67="","tipo, ","")&amp;IF($I67="","canal, ","")&amp;IF($H67="","município, ","")&amp;IF(AND($U67="Sim",$E67=""),"empresa, ","")&amp;IF(AND($U67="Sim",$F67=""),"editor, ","")&amp;IF(AND($K67="Concluído",$N67=""),"data de conclusão, ","")&amp;IF(AND($K67="Concluído",$R67=""),"link, ","")&amp;IF(AND($K67="Concluído",$L67=""),"quem liberou, ",""))=0,"OK","Falta "&amp;LEFT(IF($J67="","título, ","")&amp;IF($C67="","responsável, ","")&amp;IF($D67="","tipo, ","")&amp;IF($I67="","canal, ","")&amp;IF($H67="","município, ","")&amp;IF(AND($U67="Sim",$E67=""),"empresa, ","")&amp;IF(AND($U67="Sim",$F67=""),"editor, ","")&amp;IF(AND($K67="Concluído",$N67=""),"data de conclusão, ","")&amp;IF(AND($K67="Concluído",$R67=""),"link, ","")&amp;IF(AND($K67="Concluído",$L67=""),"quem liberou, ",""),LEN(IF($J67="","título, ","")&amp;IF($C67="","responsável, ","")&amp;IF($D67="","tipo, ","")&amp;IF($I67="","canal, ","")&amp;IF($H67="","município, ","")&amp;IF(AND($U67="Sim",$E67=""),"empresa, ","")&amp;IF(AND($U67="Sim",$F67=""),"editor, ","")&amp;IF(AND($K67="Concluído",$N67=""),"data de conclusão, ","")&amp;IF(AND($K67="Concluído",$R67=""),"link, ","")&amp;IF(AND($K67="Concluído",$L67=""),"quem liberou, ",""))-2)))</f>
        <v/>
      </c>
      <c r="R67" s="38"/>
      <c r="S67" s="38"/>
      <c r="T67" s="38"/>
      <c r="U67" s="40" t="str">
        <f aca="false">IF($A67="","",IFERROR(INDEX(Listas!$E$5:$E$64,MATCH($D67,Listas!$C$5:$C$64,0)),"Não"))</f>
        <v/>
      </c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9" t="str">
        <f aca="false">IF(OR($A68="",$D68=""),"",$A68+IFERROR(INDEX(Listas!$D$5:$D$64,MATCH($D68,Listas!$C$5:$C$64,0)),3))</f>
        <v/>
      </c>
      <c r="N68" s="37"/>
      <c r="O68" s="40" t="str">
        <f aca="false">IF($A68="","",IF($K68="Concluído","Sim","Não"))</f>
        <v/>
      </c>
      <c r="P68" s="40" t="str">
        <f aca="true">IF($A68="","",IF($K68="Stand-by","Stand-by",IF($K68="Concluído","Concluída",IF(AND($M68&lt;&gt;"",$M68&lt;TODAY()),"Atrasada","Em dia"))))</f>
        <v/>
      </c>
      <c r="Q68" s="40" t="str">
        <f aca="false">IF($A68="","",IF(LEN(IF($J68="","título, ","")&amp;IF($C68="","responsável, ","")&amp;IF($D68="","tipo, ","")&amp;IF($I68="","canal, ","")&amp;IF($H68="","município, ","")&amp;IF(AND($U68="Sim",$E68=""),"empresa, ","")&amp;IF(AND($U68="Sim",$F68=""),"editor, ","")&amp;IF(AND($K68="Concluído",$N68=""),"data de conclusão, ","")&amp;IF(AND($K68="Concluído",$R68=""),"link, ","")&amp;IF(AND($K68="Concluído",$L68=""),"quem liberou, ",""))=0,"OK","Falta "&amp;LEFT(IF($J68="","título, ","")&amp;IF($C68="","responsável, ","")&amp;IF($D68="","tipo, ","")&amp;IF($I68="","canal, ","")&amp;IF($H68="","município, ","")&amp;IF(AND($U68="Sim",$E68=""),"empresa, ","")&amp;IF(AND($U68="Sim",$F68=""),"editor, ","")&amp;IF(AND($K68="Concluído",$N68=""),"data de conclusão, ","")&amp;IF(AND($K68="Concluído",$R68=""),"link, ","")&amp;IF(AND($K68="Concluído",$L68=""),"quem liberou, ",""),LEN(IF($J68="","título, ","")&amp;IF($C68="","responsável, ","")&amp;IF($D68="","tipo, ","")&amp;IF($I68="","canal, ","")&amp;IF($H68="","município, ","")&amp;IF(AND($U68="Sim",$E68=""),"empresa, ","")&amp;IF(AND($U68="Sim",$F68=""),"editor, ","")&amp;IF(AND($K68="Concluído",$N68=""),"data de conclusão, ","")&amp;IF(AND($K68="Concluído",$R68=""),"link, ","")&amp;IF(AND($K68="Concluído",$L68=""),"quem liberou, ",""))-2)))</f>
        <v/>
      </c>
      <c r="R68" s="38"/>
      <c r="S68" s="38"/>
      <c r="T68" s="38"/>
      <c r="U68" s="40" t="str">
        <f aca="false">IF($A68="","",IFERROR(INDEX(Listas!$E$5:$E$64,MATCH($D68,Listas!$C$5:$C$64,0)),"Não"))</f>
        <v/>
      </c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9" t="str">
        <f aca="false">IF(OR($A69="",$D69=""),"",$A69+IFERROR(INDEX(Listas!$D$5:$D$64,MATCH($D69,Listas!$C$5:$C$64,0)),3))</f>
        <v/>
      </c>
      <c r="N69" s="37"/>
      <c r="O69" s="40" t="str">
        <f aca="false">IF($A69="","",IF($K69="Concluído","Sim","Não"))</f>
        <v/>
      </c>
      <c r="P69" s="40" t="str">
        <f aca="true">IF($A69="","",IF($K69="Stand-by","Stand-by",IF($K69="Concluído","Concluída",IF(AND($M69&lt;&gt;"",$M69&lt;TODAY()),"Atrasada","Em dia"))))</f>
        <v/>
      </c>
      <c r="Q69" s="40" t="str">
        <f aca="false">IF($A69="","",IF(LEN(IF($J69="","título, ","")&amp;IF($C69="","responsável, ","")&amp;IF($D69="","tipo, ","")&amp;IF($I69="","canal, ","")&amp;IF($H69="","município, ","")&amp;IF(AND($U69="Sim",$E69=""),"empresa, ","")&amp;IF(AND($U69="Sim",$F69=""),"editor, ","")&amp;IF(AND($K69="Concluído",$N69=""),"data de conclusão, ","")&amp;IF(AND($K69="Concluído",$R69=""),"link, ","")&amp;IF(AND($K69="Concluído",$L69=""),"quem liberou, ",""))=0,"OK","Falta "&amp;LEFT(IF($J69="","título, ","")&amp;IF($C69="","responsável, ","")&amp;IF($D69="","tipo, ","")&amp;IF($I69="","canal, ","")&amp;IF($H69="","município, ","")&amp;IF(AND($U69="Sim",$E69=""),"empresa, ","")&amp;IF(AND($U69="Sim",$F69=""),"editor, ","")&amp;IF(AND($K69="Concluído",$N69=""),"data de conclusão, ","")&amp;IF(AND($K69="Concluído",$R69=""),"link, ","")&amp;IF(AND($K69="Concluído",$L69=""),"quem liberou, ",""),LEN(IF($J69="","título, ","")&amp;IF($C69="","responsável, ","")&amp;IF($D69="","tipo, ","")&amp;IF($I69="","canal, ","")&amp;IF($H69="","município, ","")&amp;IF(AND($U69="Sim",$E69=""),"empresa, ","")&amp;IF(AND($U69="Sim",$F69=""),"editor, ","")&amp;IF(AND($K69="Concluído",$N69=""),"data de conclusão, ","")&amp;IF(AND($K69="Concluído",$R69=""),"link, ","")&amp;IF(AND($K69="Concluído",$L69=""),"quem liberou, ",""))-2)))</f>
        <v/>
      </c>
      <c r="R69" s="38"/>
      <c r="S69" s="38"/>
      <c r="T69" s="38"/>
      <c r="U69" s="40" t="str">
        <f aca="false">IF($A69="","",IFERROR(INDEX(Listas!$E$5:$E$64,MATCH($D69,Listas!$C$5:$C$64,0)),"Não"))</f>
        <v/>
      </c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9" t="str">
        <f aca="false">IF(OR($A70="",$D70=""),"",$A70+IFERROR(INDEX(Listas!$D$5:$D$64,MATCH($D70,Listas!$C$5:$C$64,0)),3))</f>
        <v/>
      </c>
      <c r="N70" s="37"/>
      <c r="O70" s="40" t="str">
        <f aca="false">IF($A70="","",IF($K70="Concluído","Sim","Não"))</f>
        <v/>
      </c>
      <c r="P70" s="40" t="str">
        <f aca="true">IF($A70="","",IF($K70="Stand-by","Stand-by",IF($K70="Concluído","Concluída",IF(AND($M70&lt;&gt;"",$M70&lt;TODAY()),"Atrasada","Em dia"))))</f>
        <v/>
      </c>
      <c r="Q70" s="40" t="str">
        <f aca="false">IF($A70="","",IF(LEN(IF($J70="","título, ","")&amp;IF($C70="","responsável, ","")&amp;IF($D70="","tipo, ","")&amp;IF($I70="","canal, ","")&amp;IF($H70="","município, ","")&amp;IF(AND($U70="Sim",$E70=""),"empresa, ","")&amp;IF(AND($U70="Sim",$F70=""),"editor, ","")&amp;IF(AND($K70="Concluído",$N70=""),"data de conclusão, ","")&amp;IF(AND($K70="Concluído",$R70=""),"link, ","")&amp;IF(AND($K70="Concluído",$L70=""),"quem liberou, ",""))=0,"OK","Falta "&amp;LEFT(IF($J70="","título, ","")&amp;IF($C70="","responsável, ","")&amp;IF($D70="","tipo, ","")&amp;IF($I70="","canal, ","")&amp;IF($H70="","município, ","")&amp;IF(AND($U70="Sim",$E70=""),"empresa, ","")&amp;IF(AND($U70="Sim",$F70=""),"editor, ","")&amp;IF(AND($K70="Concluído",$N70=""),"data de conclusão, ","")&amp;IF(AND($K70="Concluído",$R70=""),"link, ","")&amp;IF(AND($K70="Concluído",$L70=""),"quem liberou, ",""),LEN(IF($J70="","título, ","")&amp;IF($C70="","responsável, ","")&amp;IF($D70="","tipo, ","")&amp;IF($I70="","canal, ","")&amp;IF($H70="","município, ","")&amp;IF(AND($U70="Sim",$E70=""),"empresa, ","")&amp;IF(AND($U70="Sim",$F70=""),"editor, ","")&amp;IF(AND($K70="Concluído",$N70=""),"data de conclusão, ","")&amp;IF(AND($K70="Concluído",$R70=""),"link, ","")&amp;IF(AND($K70="Concluído",$L70=""),"quem liberou, ",""))-2)))</f>
        <v/>
      </c>
      <c r="R70" s="38"/>
      <c r="S70" s="38"/>
      <c r="T70" s="38"/>
      <c r="U70" s="40" t="str">
        <f aca="false">IF($A70="","",IFERROR(INDEX(Listas!$E$5:$E$64,MATCH($D70,Listas!$C$5:$C$64,0)),"Não"))</f>
        <v/>
      </c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9" t="str">
        <f aca="false">IF(OR($A71="",$D71=""),"",$A71+IFERROR(INDEX(Listas!$D$5:$D$64,MATCH($D71,Listas!$C$5:$C$64,0)),3))</f>
        <v/>
      </c>
      <c r="N71" s="37"/>
      <c r="O71" s="40" t="str">
        <f aca="false">IF($A71="","",IF($K71="Concluído","Sim","Não"))</f>
        <v/>
      </c>
      <c r="P71" s="40" t="str">
        <f aca="true">IF($A71="","",IF($K71="Stand-by","Stand-by",IF($K71="Concluído","Concluída",IF(AND($M71&lt;&gt;"",$M71&lt;TODAY()),"Atrasada","Em dia"))))</f>
        <v/>
      </c>
      <c r="Q71" s="40" t="str">
        <f aca="false">IF($A71="","",IF(LEN(IF($J71="","título, ","")&amp;IF($C71="","responsável, ","")&amp;IF($D71="","tipo, ","")&amp;IF($I71="","canal, ","")&amp;IF($H71="","município, ","")&amp;IF(AND($U71="Sim",$E71=""),"empresa, ","")&amp;IF(AND($U71="Sim",$F71=""),"editor, ","")&amp;IF(AND($K71="Concluído",$N71=""),"data de conclusão, ","")&amp;IF(AND($K71="Concluído",$R71=""),"link, ","")&amp;IF(AND($K71="Concluído",$L71=""),"quem liberou, ",""))=0,"OK","Falta "&amp;LEFT(IF($J71="","título, ","")&amp;IF($C71="","responsável, ","")&amp;IF($D71="","tipo, ","")&amp;IF($I71="","canal, ","")&amp;IF($H71="","município, ","")&amp;IF(AND($U71="Sim",$E71=""),"empresa, ","")&amp;IF(AND($U71="Sim",$F71=""),"editor, ","")&amp;IF(AND($K71="Concluído",$N71=""),"data de conclusão, ","")&amp;IF(AND($K71="Concluído",$R71=""),"link, ","")&amp;IF(AND($K71="Concluído",$L71=""),"quem liberou, ",""),LEN(IF($J71="","título, ","")&amp;IF($C71="","responsável, ","")&amp;IF($D71="","tipo, ","")&amp;IF($I71="","canal, ","")&amp;IF($H71="","município, ","")&amp;IF(AND($U71="Sim",$E71=""),"empresa, ","")&amp;IF(AND($U71="Sim",$F71=""),"editor, ","")&amp;IF(AND($K71="Concluído",$N71=""),"data de conclusão, ","")&amp;IF(AND($K71="Concluído",$R71=""),"link, ","")&amp;IF(AND($K71="Concluído",$L71=""),"quem liberou, ",""))-2)))</f>
        <v/>
      </c>
      <c r="R71" s="38"/>
      <c r="S71" s="38"/>
      <c r="T71" s="38"/>
      <c r="U71" s="40" t="str">
        <f aca="false">IF($A71="","",IFERROR(INDEX(Listas!$E$5:$E$64,MATCH($D71,Listas!$C$5:$C$64,0)),"Não"))</f>
        <v/>
      </c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9" t="str">
        <f aca="false">IF(OR($A72="",$D72=""),"",$A72+IFERROR(INDEX(Listas!$D$5:$D$64,MATCH($D72,Listas!$C$5:$C$64,0)),3))</f>
        <v/>
      </c>
      <c r="N72" s="37"/>
      <c r="O72" s="40" t="str">
        <f aca="false">IF($A72="","",IF($K72="Concluído","Sim","Não"))</f>
        <v/>
      </c>
      <c r="P72" s="40" t="str">
        <f aca="true">IF($A72="","",IF($K72="Stand-by","Stand-by",IF($K72="Concluído","Concluída",IF(AND($M72&lt;&gt;"",$M72&lt;TODAY()),"Atrasada","Em dia"))))</f>
        <v/>
      </c>
      <c r="Q72" s="40" t="str">
        <f aca="false">IF($A72="","",IF(LEN(IF($J72="","título, ","")&amp;IF($C72="","responsável, ","")&amp;IF($D72="","tipo, ","")&amp;IF($I72="","canal, ","")&amp;IF($H72="","município, ","")&amp;IF(AND($U72="Sim",$E72=""),"empresa, ","")&amp;IF(AND($U72="Sim",$F72=""),"editor, ","")&amp;IF(AND($K72="Concluído",$N72=""),"data de conclusão, ","")&amp;IF(AND($K72="Concluído",$R72=""),"link, ","")&amp;IF(AND($K72="Concluído",$L72=""),"quem liberou, ",""))=0,"OK","Falta "&amp;LEFT(IF($J72="","título, ","")&amp;IF($C72="","responsável, ","")&amp;IF($D72="","tipo, ","")&amp;IF($I72="","canal, ","")&amp;IF($H72="","município, ","")&amp;IF(AND($U72="Sim",$E72=""),"empresa, ","")&amp;IF(AND($U72="Sim",$F72=""),"editor, ","")&amp;IF(AND($K72="Concluído",$N72=""),"data de conclusão, ","")&amp;IF(AND($K72="Concluído",$R72=""),"link, ","")&amp;IF(AND($K72="Concluído",$L72=""),"quem liberou, ",""),LEN(IF($J72="","título, ","")&amp;IF($C72="","responsável, ","")&amp;IF($D72="","tipo, ","")&amp;IF($I72="","canal, ","")&amp;IF($H72="","município, ","")&amp;IF(AND($U72="Sim",$E72=""),"empresa, ","")&amp;IF(AND($U72="Sim",$F72=""),"editor, ","")&amp;IF(AND($K72="Concluído",$N72=""),"data de conclusão, ","")&amp;IF(AND($K72="Concluído",$R72=""),"link, ","")&amp;IF(AND($K72="Concluído",$L72=""),"quem liberou, ",""))-2)))</f>
        <v/>
      </c>
      <c r="R72" s="38"/>
      <c r="S72" s="38"/>
      <c r="T72" s="38"/>
      <c r="U72" s="40" t="str">
        <f aca="false">IF($A72="","",IFERROR(INDEX(Listas!$E$5:$E$64,MATCH($D72,Listas!$C$5:$C$64,0)),"Não"))</f>
        <v/>
      </c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9" t="str">
        <f aca="false">IF(OR($A73="",$D73=""),"",$A73+IFERROR(INDEX(Listas!$D$5:$D$64,MATCH($D73,Listas!$C$5:$C$64,0)),3))</f>
        <v/>
      </c>
      <c r="N73" s="37"/>
      <c r="O73" s="40" t="str">
        <f aca="false">IF($A73="","",IF($K73="Concluído","Sim","Não"))</f>
        <v/>
      </c>
      <c r="P73" s="40" t="str">
        <f aca="true">IF($A73="","",IF($K73="Stand-by","Stand-by",IF($K73="Concluído","Concluída",IF(AND($M73&lt;&gt;"",$M73&lt;TODAY()),"Atrasada","Em dia"))))</f>
        <v/>
      </c>
      <c r="Q73" s="40" t="str">
        <f aca="false">IF($A73="","",IF(LEN(IF($J73="","título, ","")&amp;IF($C73="","responsável, ","")&amp;IF($D73="","tipo, ","")&amp;IF($I73="","canal, ","")&amp;IF($H73="","município, ","")&amp;IF(AND($U73="Sim",$E73=""),"empresa, ","")&amp;IF(AND($U73="Sim",$F73=""),"editor, ","")&amp;IF(AND($K73="Concluído",$N73=""),"data de conclusão, ","")&amp;IF(AND($K73="Concluído",$R73=""),"link, ","")&amp;IF(AND($K73="Concluído",$L73=""),"quem liberou, ",""))=0,"OK","Falta "&amp;LEFT(IF($J73="","título, ","")&amp;IF($C73="","responsável, ","")&amp;IF($D73="","tipo, ","")&amp;IF($I73="","canal, ","")&amp;IF($H73="","município, ","")&amp;IF(AND($U73="Sim",$E73=""),"empresa, ","")&amp;IF(AND($U73="Sim",$F73=""),"editor, ","")&amp;IF(AND($K73="Concluído",$N73=""),"data de conclusão, ","")&amp;IF(AND($K73="Concluído",$R73=""),"link, ","")&amp;IF(AND($K73="Concluído",$L73=""),"quem liberou, ",""),LEN(IF($J73="","título, ","")&amp;IF($C73="","responsável, ","")&amp;IF($D73="","tipo, ","")&amp;IF($I73="","canal, ","")&amp;IF($H73="","município, ","")&amp;IF(AND($U73="Sim",$E73=""),"empresa, ","")&amp;IF(AND($U73="Sim",$F73=""),"editor, ","")&amp;IF(AND($K73="Concluído",$N73=""),"data de conclusão, ","")&amp;IF(AND($K73="Concluído",$R73=""),"link, ","")&amp;IF(AND($K73="Concluído",$L73=""),"quem liberou, ",""))-2)))</f>
        <v/>
      </c>
      <c r="R73" s="38"/>
      <c r="S73" s="38"/>
      <c r="T73" s="38"/>
      <c r="U73" s="40" t="str">
        <f aca="false">IF($A73="","",IFERROR(INDEX(Listas!$E$5:$E$64,MATCH($D73,Listas!$C$5:$C$64,0)),"Não"))</f>
        <v/>
      </c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9" t="str">
        <f aca="false">IF(OR($A74="",$D74=""),"",$A74+IFERROR(INDEX(Listas!$D$5:$D$64,MATCH($D74,Listas!$C$5:$C$64,0)),3))</f>
        <v/>
      </c>
      <c r="N74" s="37"/>
      <c r="O74" s="40" t="str">
        <f aca="false">IF($A74="","",IF($K74="Concluído","Sim","Não"))</f>
        <v/>
      </c>
      <c r="P74" s="40" t="str">
        <f aca="true">IF($A74="","",IF($K74="Stand-by","Stand-by",IF($K74="Concluído","Concluída",IF(AND($M74&lt;&gt;"",$M74&lt;TODAY()),"Atrasada","Em dia"))))</f>
        <v/>
      </c>
      <c r="Q74" s="40" t="str">
        <f aca="false">IF($A74="","",IF(LEN(IF($J74="","título, ","")&amp;IF($C74="","responsável, ","")&amp;IF($D74="","tipo, ","")&amp;IF($I74="","canal, ","")&amp;IF($H74="","município, ","")&amp;IF(AND($U74="Sim",$E74=""),"empresa, ","")&amp;IF(AND($U74="Sim",$F74=""),"editor, ","")&amp;IF(AND($K74="Concluído",$N74=""),"data de conclusão, ","")&amp;IF(AND($K74="Concluído",$R74=""),"link, ","")&amp;IF(AND($K74="Concluído",$L74=""),"quem liberou, ",""))=0,"OK","Falta "&amp;LEFT(IF($J74="","título, ","")&amp;IF($C74="","responsável, ","")&amp;IF($D74="","tipo, ","")&amp;IF($I74="","canal, ","")&amp;IF($H74="","município, ","")&amp;IF(AND($U74="Sim",$E74=""),"empresa, ","")&amp;IF(AND($U74="Sim",$F74=""),"editor, ","")&amp;IF(AND($K74="Concluído",$N74=""),"data de conclusão, ","")&amp;IF(AND($K74="Concluído",$R74=""),"link, ","")&amp;IF(AND($K74="Concluído",$L74=""),"quem liberou, ",""),LEN(IF($J74="","título, ","")&amp;IF($C74="","responsável, ","")&amp;IF($D74="","tipo, ","")&amp;IF($I74="","canal, ","")&amp;IF($H74="","município, ","")&amp;IF(AND($U74="Sim",$E74=""),"empresa, ","")&amp;IF(AND($U74="Sim",$F74=""),"editor, ","")&amp;IF(AND($K74="Concluído",$N74=""),"data de conclusão, ","")&amp;IF(AND($K74="Concluído",$R74=""),"link, ","")&amp;IF(AND($K74="Concluído",$L74=""),"quem liberou, ",""))-2)))</f>
        <v/>
      </c>
      <c r="R74" s="38"/>
      <c r="S74" s="38"/>
      <c r="T74" s="38"/>
      <c r="U74" s="40" t="str">
        <f aca="false">IF($A74="","",IFERROR(INDEX(Listas!$E$5:$E$64,MATCH($D74,Listas!$C$5:$C$64,0)),"Não"))</f>
        <v/>
      </c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9" t="str">
        <f aca="false">IF(OR($A75="",$D75=""),"",$A75+IFERROR(INDEX(Listas!$D$5:$D$64,MATCH($D75,Listas!$C$5:$C$64,0)),3))</f>
        <v/>
      </c>
      <c r="N75" s="37"/>
      <c r="O75" s="40" t="str">
        <f aca="false">IF($A75="","",IF($K75="Concluído","Sim","Não"))</f>
        <v/>
      </c>
      <c r="P75" s="40" t="str">
        <f aca="true">IF($A75="","",IF($K75="Stand-by","Stand-by",IF($K75="Concluído","Concluída",IF(AND($M75&lt;&gt;"",$M75&lt;TODAY()),"Atrasada","Em dia"))))</f>
        <v/>
      </c>
      <c r="Q75" s="40" t="str">
        <f aca="false">IF($A75="","",IF(LEN(IF($J75="","título, ","")&amp;IF($C75="","responsável, ","")&amp;IF($D75="","tipo, ","")&amp;IF($I75="","canal, ","")&amp;IF($H75="","município, ","")&amp;IF(AND($U75="Sim",$E75=""),"empresa, ","")&amp;IF(AND($U75="Sim",$F75=""),"editor, ","")&amp;IF(AND($K75="Concluído",$N75=""),"data de conclusão, ","")&amp;IF(AND($K75="Concluído",$R75=""),"link, ","")&amp;IF(AND($K75="Concluído",$L75=""),"quem liberou, ",""))=0,"OK","Falta "&amp;LEFT(IF($J75="","título, ","")&amp;IF($C75="","responsável, ","")&amp;IF($D75="","tipo, ","")&amp;IF($I75="","canal, ","")&amp;IF($H75="","município, ","")&amp;IF(AND($U75="Sim",$E75=""),"empresa, ","")&amp;IF(AND($U75="Sim",$F75=""),"editor, ","")&amp;IF(AND($K75="Concluído",$N75=""),"data de conclusão, ","")&amp;IF(AND($K75="Concluído",$R75=""),"link, ","")&amp;IF(AND($K75="Concluído",$L75=""),"quem liberou, ",""),LEN(IF($J75="","título, ","")&amp;IF($C75="","responsável, ","")&amp;IF($D75="","tipo, ","")&amp;IF($I75="","canal, ","")&amp;IF($H75="","município, ","")&amp;IF(AND($U75="Sim",$E75=""),"empresa, ","")&amp;IF(AND($U75="Sim",$F75=""),"editor, ","")&amp;IF(AND($K75="Concluído",$N75=""),"data de conclusão, ","")&amp;IF(AND($K75="Concluído",$R75=""),"link, ","")&amp;IF(AND($K75="Concluído",$L75=""),"quem liberou, ",""))-2)))</f>
        <v/>
      </c>
      <c r="R75" s="38"/>
      <c r="S75" s="38"/>
      <c r="T75" s="38"/>
      <c r="U75" s="40" t="str">
        <f aca="false">IF($A75="","",IFERROR(INDEX(Listas!$E$5:$E$64,MATCH($D75,Listas!$C$5:$C$64,0)),"Não"))</f>
        <v/>
      </c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9" t="str">
        <f aca="false">IF(OR($A76="",$D76=""),"",$A76+IFERROR(INDEX(Listas!$D$5:$D$64,MATCH($D76,Listas!$C$5:$C$64,0)),3))</f>
        <v/>
      </c>
      <c r="N76" s="37"/>
      <c r="O76" s="40" t="str">
        <f aca="false">IF($A76="","",IF($K76="Concluído","Sim","Não"))</f>
        <v/>
      </c>
      <c r="P76" s="40" t="str">
        <f aca="true">IF($A76="","",IF($K76="Stand-by","Stand-by",IF($K76="Concluído","Concluída",IF(AND($M76&lt;&gt;"",$M76&lt;TODAY()),"Atrasada","Em dia"))))</f>
        <v/>
      </c>
      <c r="Q76" s="40" t="str">
        <f aca="false">IF($A76="","",IF(LEN(IF($J76="","título, ","")&amp;IF($C76="","responsável, ","")&amp;IF($D76="","tipo, ","")&amp;IF($I76="","canal, ","")&amp;IF($H76="","município, ","")&amp;IF(AND($U76="Sim",$E76=""),"empresa, ","")&amp;IF(AND($U76="Sim",$F76=""),"editor, ","")&amp;IF(AND($K76="Concluído",$N76=""),"data de conclusão, ","")&amp;IF(AND($K76="Concluído",$R76=""),"link, ","")&amp;IF(AND($K76="Concluído",$L76=""),"quem liberou, ",""))=0,"OK","Falta "&amp;LEFT(IF($J76="","título, ","")&amp;IF($C76="","responsável, ","")&amp;IF($D76="","tipo, ","")&amp;IF($I76="","canal, ","")&amp;IF($H76="","município, ","")&amp;IF(AND($U76="Sim",$E76=""),"empresa, ","")&amp;IF(AND($U76="Sim",$F76=""),"editor, ","")&amp;IF(AND($K76="Concluído",$N76=""),"data de conclusão, ","")&amp;IF(AND($K76="Concluído",$R76=""),"link, ","")&amp;IF(AND($K76="Concluído",$L76=""),"quem liberou, ",""),LEN(IF($J76="","título, ","")&amp;IF($C76="","responsável, ","")&amp;IF($D76="","tipo, ","")&amp;IF($I76="","canal, ","")&amp;IF($H76="","município, ","")&amp;IF(AND($U76="Sim",$E76=""),"empresa, ","")&amp;IF(AND($U76="Sim",$F76=""),"editor, ","")&amp;IF(AND($K76="Concluído",$N76=""),"data de conclusão, ","")&amp;IF(AND($K76="Concluído",$R76=""),"link, ","")&amp;IF(AND($K76="Concluído",$L76=""),"quem liberou, ",""))-2)))</f>
        <v/>
      </c>
      <c r="R76" s="38"/>
      <c r="S76" s="38"/>
      <c r="T76" s="38"/>
      <c r="U76" s="40" t="str">
        <f aca="false">IF($A76="","",IFERROR(INDEX(Listas!$E$5:$E$64,MATCH($D76,Listas!$C$5:$C$64,0)),"Não"))</f>
        <v/>
      </c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9" t="str">
        <f aca="false">IF(OR($A77="",$D77=""),"",$A77+IFERROR(INDEX(Listas!$D$5:$D$64,MATCH($D77,Listas!$C$5:$C$64,0)),3))</f>
        <v/>
      </c>
      <c r="N77" s="37"/>
      <c r="O77" s="40" t="str">
        <f aca="false">IF($A77="","",IF($K77="Concluído","Sim","Não"))</f>
        <v/>
      </c>
      <c r="P77" s="40" t="str">
        <f aca="true">IF($A77="","",IF($K77="Stand-by","Stand-by",IF($K77="Concluído","Concluída",IF(AND($M77&lt;&gt;"",$M77&lt;TODAY()),"Atrasada","Em dia"))))</f>
        <v/>
      </c>
      <c r="Q77" s="40" t="str">
        <f aca="false">IF($A77="","",IF(LEN(IF($J77="","título, ","")&amp;IF($C77="","responsável, ","")&amp;IF($D77="","tipo, ","")&amp;IF($I77="","canal, ","")&amp;IF($H77="","município, ","")&amp;IF(AND($U77="Sim",$E77=""),"empresa, ","")&amp;IF(AND($U77="Sim",$F77=""),"editor, ","")&amp;IF(AND($K77="Concluído",$N77=""),"data de conclusão, ","")&amp;IF(AND($K77="Concluído",$R77=""),"link, ","")&amp;IF(AND($K77="Concluído",$L77=""),"quem liberou, ",""))=0,"OK","Falta "&amp;LEFT(IF($J77="","título, ","")&amp;IF($C77="","responsável, ","")&amp;IF($D77="","tipo, ","")&amp;IF($I77="","canal, ","")&amp;IF($H77="","município, ","")&amp;IF(AND($U77="Sim",$E77=""),"empresa, ","")&amp;IF(AND($U77="Sim",$F77=""),"editor, ","")&amp;IF(AND($K77="Concluído",$N77=""),"data de conclusão, ","")&amp;IF(AND($K77="Concluído",$R77=""),"link, ","")&amp;IF(AND($K77="Concluído",$L77=""),"quem liberou, ",""),LEN(IF($J77="","título, ","")&amp;IF($C77="","responsável, ","")&amp;IF($D77="","tipo, ","")&amp;IF($I77="","canal, ","")&amp;IF($H77="","município, ","")&amp;IF(AND($U77="Sim",$E77=""),"empresa, ","")&amp;IF(AND($U77="Sim",$F77=""),"editor, ","")&amp;IF(AND($K77="Concluído",$N77=""),"data de conclusão, ","")&amp;IF(AND($K77="Concluído",$R77=""),"link, ","")&amp;IF(AND($K77="Concluído",$L77=""),"quem liberou, ",""))-2)))</f>
        <v/>
      </c>
      <c r="R77" s="38"/>
      <c r="S77" s="38"/>
      <c r="T77" s="38"/>
      <c r="U77" s="40" t="str">
        <f aca="false">IF($A77="","",IFERROR(INDEX(Listas!$E$5:$E$64,MATCH($D77,Listas!$C$5:$C$64,0)),"Não"))</f>
        <v/>
      </c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9" t="str">
        <f aca="false">IF(OR($A78="",$D78=""),"",$A78+IFERROR(INDEX(Listas!$D$5:$D$64,MATCH($D78,Listas!$C$5:$C$64,0)),3))</f>
        <v/>
      </c>
      <c r="N78" s="37"/>
      <c r="O78" s="40" t="str">
        <f aca="false">IF($A78="","",IF($K78="Concluído","Sim","Não"))</f>
        <v/>
      </c>
      <c r="P78" s="40" t="str">
        <f aca="true">IF($A78="","",IF($K78="Stand-by","Stand-by",IF($K78="Concluído","Concluída",IF(AND($M78&lt;&gt;"",$M78&lt;TODAY()),"Atrasada","Em dia"))))</f>
        <v/>
      </c>
      <c r="Q78" s="40" t="str">
        <f aca="false">IF($A78="","",IF(LEN(IF($J78="","título, ","")&amp;IF($C78="","responsável, ","")&amp;IF($D78="","tipo, ","")&amp;IF($I78="","canal, ","")&amp;IF($H78="","município, ","")&amp;IF(AND($U78="Sim",$E78=""),"empresa, ","")&amp;IF(AND($U78="Sim",$F78=""),"editor, ","")&amp;IF(AND($K78="Concluído",$N78=""),"data de conclusão, ","")&amp;IF(AND($K78="Concluído",$R78=""),"link, ","")&amp;IF(AND($K78="Concluído",$L78=""),"quem liberou, ",""))=0,"OK","Falta "&amp;LEFT(IF($J78="","título, ","")&amp;IF($C78="","responsável, ","")&amp;IF($D78="","tipo, ","")&amp;IF($I78="","canal, ","")&amp;IF($H78="","município, ","")&amp;IF(AND($U78="Sim",$E78=""),"empresa, ","")&amp;IF(AND($U78="Sim",$F78=""),"editor, ","")&amp;IF(AND($K78="Concluído",$N78=""),"data de conclusão, ","")&amp;IF(AND($K78="Concluído",$R78=""),"link, ","")&amp;IF(AND($K78="Concluído",$L78=""),"quem liberou, ",""),LEN(IF($J78="","título, ","")&amp;IF($C78="","responsável, ","")&amp;IF($D78="","tipo, ","")&amp;IF($I78="","canal, ","")&amp;IF($H78="","município, ","")&amp;IF(AND($U78="Sim",$E78=""),"empresa, ","")&amp;IF(AND($U78="Sim",$F78=""),"editor, ","")&amp;IF(AND($K78="Concluído",$N78=""),"data de conclusão, ","")&amp;IF(AND($K78="Concluído",$R78=""),"link, ","")&amp;IF(AND($K78="Concluído",$L78=""),"quem liberou, ",""))-2)))</f>
        <v/>
      </c>
      <c r="R78" s="38"/>
      <c r="S78" s="38"/>
      <c r="T78" s="38"/>
      <c r="U78" s="40" t="str">
        <f aca="false">IF($A78="","",IFERROR(INDEX(Listas!$E$5:$E$64,MATCH($D78,Listas!$C$5:$C$64,0)),"Não"))</f>
        <v/>
      </c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9" t="str">
        <f aca="false">IF(OR($A79="",$D79=""),"",$A79+IFERROR(INDEX(Listas!$D$5:$D$64,MATCH($D79,Listas!$C$5:$C$64,0)),3))</f>
        <v/>
      </c>
      <c r="N79" s="37"/>
      <c r="O79" s="40" t="str">
        <f aca="false">IF($A79="","",IF($K79="Concluído","Sim","Não"))</f>
        <v/>
      </c>
      <c r="P79" s="40" t="str">
        <f aca="true">IF($A79="","",IF($K79="Stand-by","Stand-by",IF($K79="Concluído","Concluída",IF(AND($M79&lt;&gt;"",$M79&lt;TODAY()),"Atrasada","Em dia"))))</f>
        <v/>
      </c>
      <c r="Q79" s="40" t="str">
        <f aca="false">IF($A79="","",IF(LEN(IF($J79="","título, ","")&amp;IF($C79="","responsável, ","")&amp;IF($D79="","tipo, ","")&amp;IF($I79="","canal, ","")&amp;IF($H79="","município, ","")&amp;IF(AND($U79="Sim",$E79=""),"empresa, ","")&amp;IF(AND($U79="Sim",$F79=""),"editor, ","")&amp;IF(AND($K79="Concluído",$N79=""),"data de conclusão, ","")&amp;IF(AND($K79="Concluído",$R79=""),"link, ","")&amp;IF(AND($K79="Concluído",$L79=""),"quem liberou, ",""))=0,"OK","Falta "&amp;LEFT(IF($J79="","título, ","")&amp;IF($C79="","responsável, ","")&amp;IF($D79="","tipo, ","")&amp;IF($I79="","canal, ","")&amp;IF($H79="","município, ","")&amp;IF(AND($U79="Sim",$E79=""),"empresa, ","")&amp;IF(AND($U79="Sim",$F79=""),"editor, ","")&amp;IF(AND($K79="Concluído",$N79=""),"data de conclusão, ","")&amp;IF(AND($K79="Concluído",$R79=""),"link, ","")&amp;IF(AND($K79="Concluído",$L79=""),"quem liberou, ",""),LEN(IF($J79="","título, ","")&amp;IF($C79="","responsável, ","")&amp;IF($D79="","tipo, ","")&amp;IF($I79="","canal, ","")&amp;IF($H79="","município, ","")&amp;IF(AND($U79="Sim",$E79=""),"empresa, ","")&amp;IF(AND($U79="Sim",$F79=""),"editor, ","")&amp;IF(AND($K79="Concluído",$N79=""),"data de conclusão, ","")&amp;IF(AND($K79="Concluído",$R79=""),"link, ","")&amp;IF(AND($K79="Concluído",$L79=""),"quem liberou, ",""))-2)))</f>
        <v/>
      </c>
      <c r="R79" s="38"/>
      <c r="S79" s="38"/>
      <c r="T79" s="38"/>
      <c r="U79" s="40" t="str">
        <f aca="false">IF($A79="","",IFERROR(INDEX(Listas!$E$5:$E$64,MATCH($D79,Listas!$C$5:$C$64,0)),"Não"))</f>
        <v/>
      </c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9" t="str">
        <f aca="false">IF(OR($A80="",$D80=""),"",$A80+IFERROR(INDEX(Listas!$D$5:$D$64,MATCH($D80,Listas!$C$5:$C$64,0)),3))</f>
        <v/>
      </c>
      <c r="N80" s="37"/>
      <c r="O80" s="40" t="str">
        <f aca="false">IF($A80="","",IF($K80="Concluído","Sim","Não"))</f>
        <v/>
      </c>
      <c r="P80" s="40" t="str">
        <f aca="true">IF($A80="","",IF($K80="Stand-by","Stand-by",IF($K80="Concluído","Concluída",IF(AND($M80&lt;&gt;"",$M80&lt;TODAY()),"Atrasada","Em dia"))))</f>
        <v/>
      </c>
      <c r="Q80" s="40" t="str">
        <f aca="false">IF($A80="","",IF(LEN(IF($J80="","título, ","")&amp;IF($C80="","responsável, ","")&amp;IF($D80="","tipo, ","")&amp;IF($I80="","canal, ","")&amp;IF($H80="","município, ","")&amp;IF(AND($U80="Sim",$E80=""),"empresa, ","")&amp;IF(AND($U80="Sim",$F80=""),"editor, ","")&amp;IF(AND($K80="Concluído",$N80=""),"data de conclusão, ","")&amp;IF(AND($K80="Concluído",$R80=""),"link, ","")&amp;IF(AND($K80="Concluído",$L80=""),"quem liberou, ",""))=0,"OK","Falta "&amp;LEFT(IF($J80="","título, ","")&amp;IF($C80="","responsável, ","")&amp;IF($D80="","tipo, ","")&amp;IF($I80="","canal, ","")&amp;IF($H80="","município, ","")&amp;IF(AND($U80="Sim",$E80=""),"empresa, ","")&amp;IF(AND($U80="Sim",$F80=""),"editor, ","")&amp;IF(AND($K80="Concluído",$N80=""),"data de conclusão, ","")&amp;IF(AND($K80="Concluído",$R80=""),"link, ","")&amp;IF(AND($K80="Concluído",$L80=""),"quem liberou, ",""),LEN(IF($J80="","título, ","")&amp;IF($C80="","responsável, ","")&amp;IF($D80="","tipo, ","")&amp;IF($I80="","canal, ","")&amp;IF($H80="","município, ","")&amp;IF(AND($U80="Sim",$E80=""),"empresa, ","")&amp;IF(AND($U80="Sim",$F80=""),"editor, ","")&amp;IF(AND($K80="Concluído",$N80=""),"data de conclusão, ","")&amp;IF(AND($K80="Concluído",$R80=""),"link, ","")&amp;IF(AND($K80="Concluído",$L80=""),"quem liberou, ",""))-2)))</f>
        <v/>
      </c>
      <c r="R80" s="38"/>
      <c r="S80" s="38"/>
      <c r="T80" s="38"/>
      <c r="U80" s="40" t="str">
        <f aca="false">IF($A80="","",IFERROR(INDEX(Listas!$E$5:$E$64,MATCH($D80,Listas!$C$5:$C$64,0)),"Não"))</f>
        <v/>
      </c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9" t="str">
        <f aca="false">IF(OR($A81="",$D81=""),"",$A81+IFERROR(INDEX(Listas!$D$5:$D$64,MATCH($D81,Listas!$C$5:$C$64,0)),3))</f>
        <v/>
      </c>
      <c r="N81" s="37"/>
      <c r="O81" s="40" t="str">
        <f aca="false">IF($A81="","",IF($K81="Concluído","Sim","Não"))</f>
        <v/>
      </c>
      <c r="P81" s="40" t="str">
        <f aca="true">IF($A81="","",IF($K81="Stand-by","Stand-by",IF($K81="Concluído","Concluída",IF(AND($M81&lt;&gt;"",$M81&lt;TODAY()),"Atrasada","Em dia"))))</f>
        <v/>
      </c>
      <c r="Q81" s="40" t="str">
        <f aca="false">IF($A81="","",IF(LEN(IF($J81="","título, ","")&amp;IF($C81="","responsável, ","")&amp;IF($D81="","tipo, ","")&amp;IF($I81="","canal, ","")&amp;IF($H81="","município, ","")&amp;IF(AND($U81="Sim",$E81=""),"empresa, ","")&amp;IF(AND($U81="Sim",$F81=""),"editor, ","")&amp;IF(AND($K81="Concluído",$N81=""),"data de conclusão, ","")&amp;IF(AND($K81="Concluído",$R81=""),"link, ","")&amp;IF(AND($K81="Concluído",$L81=""),"quem liberou, ",""))=0,"OK","Falta "&amp;LEFT(IF($J81="","título, ","")&amp;IF($C81="","responsável, ","")&amp;IF($D81="","tipo, ","")&amp;IF($I81="","canal, ","")&amp;IF($H81="","município, ","")&amp;IF(AND($U81="Sim",$E81=""),"empresa, ","")&amp;IF(AND($U81="Sim",$F81=""),"editor, ","")&amp;IF(AND($K81="Concluído",$N81=""),"data de conclusão, ","")&amp;IF(AND($K81="Concluído",$R81=""),"link, ","")&amp;IF(AND($K81="Concluído",$L81=""),"quem liberou, ",""),LEN(IF($J81="","título, ","")&amp;IF($C81="","responsável, ","")&amp;IF($D81="","tipo, ","")&amp;IF($I81="","canal, ","")&amp;IF($H81="","município, ","")&amp;IF(AND($U81="Sim",$E81=""),"empresa, ","")&amp;IF(AND($U81="Sim",$F81=""),"editor, ","")&amp;IF(AND($K81="Concluído",$N81=""),"data de conclusão, ","")&amp;IF(AND($K81="Concluído",$R81=""),"link, ","")&amp;IF(AND($K81="Concluído",$L81=""),"quem liberou, ",""))-2)))</f>
        <v/>
      </c>
      <c r="R81" s="38"/>
      <c r="S81" s="38"/>
      <c r="T81" s="38"/>
      <c r="U81" s="40" t="str">
        <f aca="false">IF($A81="","",IFERROR(INDEX(Listas!$E$5:$E$64,MATCH($D81,Listas!$C$5:$C$64,0)),"Não"))</f>
        <v/>
      </c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9" t="str">
        <f aca="false">IF(OR($A82="",$D82=""),"",$A82+IFERROR(INDEX(Listas!$D$5:$D$64,MATCH($D82,Listas!$C$5:$C$64,0)),3))</f>
        <v/>
      </c>
      <c r="N82" s="37"/>
      <c r="O82" s="40" t="str">
        <f aca="false">IF($A82="","",IF($K82="Concluído","Sim","Não"))</f>
        <v/>
      </c>
      <c r="P82" s="40" t="str">
        <f aca="true">IF($A82="","",IF($K82="Stand-by","Stand-by",IF($K82="Concluído","Concluída",IF(AND($M82&lt;&gt;"",$M82&lt;TODAY()),"Atrasada","Em dia"))))</f>
        <v/>
      </c>
      <c r="Q82" s="40" t="str">
        <f aca="false">IF($A82="","",IF(LEN(IF($J82="","título, ","")&amp;IF($C82="","responsável, ","")&amp;IF($D82="","tipo, ","")&amp;IF($I82="","canal, ","")&amp;IF($H82="","município, ","")&amp;IF(AND($U82="Sim",$E82=""),"empresa, ","")&amp;IF(AND($U82="Sim",$F82=""),"editor, ","")&amp;IF(AND($K82="Concluído",$N82=""),"data de conclusão, ","")&amp;IF(AND($K82="Concluído",$R82=""),"link, ","")&amp;IF(AND($K82="Concluído",$L82=""),"quem liberou, ",""))=0,"OK","Falta "&amp;LEFT(IF($J82="","título, ","")&amp;IF($C82="","responsável, ","")&amp;IF($D82="","tipo, ","")&amp;IF($I82="","canal, ","")&amp;IF($H82="","município, ","")&amp;IF(AND($U82="Sim",$E82=""),"empresa, ","")&amp;IF(AND($U82="Sim",$F82=""),"editor, ","")&amp;IF(AND($K82="Concluído",$N82=""),"data de conclusão, ","")&amp;IF(AND($K82="Concluído",$R82=""),"link, ","")&amp;IF(AND($K82="Concluído",$L82=""),"quem liberou, ",""),LEN(IF($J82="","título, ","")&amp;IF($C82="","responsável, ","")&amp;IF($D82="","tipo, ","")&amp;IF($I82="","canal, ","")&amp;IF($H82="","município, ","")&amp;IF(AND($U82="Sim",$E82=""),"empresa, ","")&amp;IF(AND($U82="Sim",$F82=""),"editor, ","")&amp;IF(AND($K82="Concluído",$N82=""),"data de conclusão, ","")&amp;IF(AND($K82="Concluído",$R82=""),"link, ","")&amp;IF(AND($K82="Concluído",$L82=""),"quem liberou, ",""))-2)))</f>
        <v/>
      </c>
      <c r="R82" s="38"/>
      <c r="S82" s="38"/>
      <c r="T82" s="38"/>
      <c r="U82" s="40" t="str">
        <f aca="false">IF($A82="","",IFERROR(INDEX(Listas!$E$5:$E$64,MATCH($D82,Listas!$C$5:$C$64,0)),"Não"))</f>
        <v/>
      </c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9" t="str">
        <f aca="false">IF(OR($A83="",$D83=""),"",$A83+IFERROR(INDEX(Listas!$D$5:$D$64,MATCH($D83,Listas!$C$5:$C$64,0)),3))</f>
        <v/>
      </c>
      <c r="N83" s="37"/>
      <c r="O83" s="40" t="str">
        <f aca="false">IF($A83="","",IF($K83="Concluído","Sim","Não"))</f>
        <v/>
      </c>
      <c r="P83" s="40" t="str">
        <f aca="true">IF($A83="","",IF($K83="Stand-by","Stand-by",IF($K83="Concluído","Concluída",IF(AND($M83&lt;&gt;"",$M83&lt;TODAY()),"Atrasada","Em dia"))))</f>
        <v/>
      </c>
      <c r="Q83" s="40" t="str">
        <f aca="false">IF($A83="","",IF(LEN(IF($J83="","título, ","")&amp;IF($C83="","responsável, ","")&amp;IF($D83="","tipo, ","")&amp;IF($I83="","canal, ","")&amp;IF($H83="","município, ","")&amp;IF(AND($U83="Sim",$E83=""),"empresa, ","")&amp;IF(AND($U83="Sim",$F83=""),"editor, ","")&amp;IF(AND($K83="Concluído",$N83=""),"data de conclusão, ","")&amp;IF(AND($K83="Concluído",$R83=""),"link, ","")&amp;IF(AND($K83="Concluído",$L83=""),"quem liberou, ",""))=0,"OK","Falta "&amp;LEFT(IF($J83="","título, ","")&amp;IF($C83="","responsável, ","")&amp;IF($D83="","tipo, ","")&amp;IF($I83="","canal, ","")&amp;IF($H83="","município, ","")&amp;IF(AND($U83="Sim",$E83=""),"empresa, ","")&amp;IF(AND($U83="Sim",$F83=""),"editor, ","")&amp;IF(AND($K83="Concluído",$N83=""),"data de conclusão, ","")&amp;IF(AND($K83="Concluído",$R83=""),"link, ","")&amp;IF(AND($K83="Concluído",$L83=""),"quem liberou, ",""),LEN(IF($J83="","título, ","")&amp;IF($C83="","responsável, ","")&amp;IF($D83="","tipo, ","")&amp;IF($I83="","canal, ","")&amp;IF($H83="","município, ","")&amp;IF(AND($U83="Sim",$E83=""),"empresa, ","")&amp;IF(AND($U83="Sim",$F83=""),"editor, ","")&amp;IF(AND($K83="Concluído",$N83=""),"data de conclusão, ","")&amp;IF(AND($K83="Concluído",$R83=""),"link, ","")&amp;IF(AND($K83="Concluído",$L83=""),"quem liberou, ",""))-2)))</f>
        <v/>
      </c>
      <c r="R83" s="38"/>
      <c r="S83" s="38"/>
      <c r="T83" s="38"/>
      <c r="U83" s="40" t="str">
        <f aca="false">IF($A83="","",IFERROR(INDEX(Listas!$E$5:$E$64,MATCH($D83,Listas!$C$5:$C$64,0)),"Não"))</f>
        <v/>
      </c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9" t="str">
        <f aca="false">IF(OR($A84="",$D84=""),"",$A84+IFERROR(INDEX(Listas!$D$5:$D$64,MATCH($D84,Listas!$C$5:$C$64,0)),3))</f>
        <v/>
      </c>
      <c r="N84" s="37"/>
      <c r="O84" s="40" t="str">
        <f aca="false">IF($A84="","",IF($K84="Concluído","Sim","Não"))</f>
        <v/>
      </c>
      <c r="P84" s="40" t="str">
        <f aca="true">IF($A84="","",IF($K84="Stand-by","Stand-by",IF($K84="Concluído","Concluída",IF(AND($M84&lt;&gt;"",$M84&lt;TODAY()),"Atrasada","Em dia"))))</f>
        <v/>
      </c>
      <c r="Q84" s="40" t="str">
        <f aca="false">IF($A84="","",IF(LEN(IF($J84="","título, ","")&amp;IF($C84="","responsável, ","")&amp;IF($D84="","tipo, ","")&amp;IF($I84="","canal, ","")&amp;IF($H84="","município, ","")&amp;IF(AND($U84="Sim",$E84=""),"empresa, ","")&amp;IF(AND($U84="Sim",$F84=""),"editor, ","")&amp;IF(AND($K84="Concluído",$N84=""),"data de conclusão, ","")&amp;IF(AND($K84="Concluído",$R84=""),"link, ","")&amp;IF(AND($K84="Concluído",$L84=""),"quem liberou, ",""))=0,"OK","Falta "&amp;LEFT(IF($J84="","título, ","")&amp;IF($C84="","responsável, ","")&amp;IF($D84="","tipo, ","")&amp;IF($I84="","canal, ","")&amp;IF($H84="","município, ","")&amp;IF(AND($U84="Sim",$E84=""),"empresa, ","")&amp;IF(AND($U84="Sim",$F84=""),"editor, ","")&amp;IF(AND($K84="Concluído",$N84=""),"data de conclusão, ","")&amp;IF(AND($K84="Concluído",$R84=""),"link, ","")&amp;IF(AND($K84="Concluído",$L84=""),"quem liberou, ",""),LEN(IF($J84="","título, ","")&amp;IF($C84="","responsável, ","")&amp;IF($D84="","tipo, ","")&amp;IF($I84="","canal, ","")&amp;IF($H84="","município, ","")&amp;IF(AND($U84="Sim",$E84=""),"empresa, ","")&amp;IF(AND($U84="Sim",$F84=""),"editor, ","")&amp;IF(AND($K84="Concluído",$N84=""),"data de conclusão, ","")&amp;IF(AND($K84="Concluído",$R84=""),"link, ","")&amp;IF(AND($K84="Concluído",$L84=""),"quem liberou, ",""))-2)))</f>
        <v/>
      </c>
      <c r="R84" s="38"/>
      <c r="S84" s="38"/>
      <c r="T84" s="38"/>
      <c r="U84" s="40" t="str">
        <f aca="false">IF($A84="","",IFERROR(INDEX(Listas!$E$5:$E$64,MATCH($D84,Listas!$C$5:$C$64,0)),"Não"))</f>
        <v/>
      </c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9" t="str">
        <f aca="false">IF(OR($A85="",$D85=""),"",$A85+IFERROR(INDEX(Listas!$D$5:$D$64,MATCH($D85,Listas!$C$5:$C$64,0)),3))</f>
        <v/>
      </c>
      <c r="N85" s="37"/>
      <c r="O85" s="40" t="str">
        <f aca="false">IF($A85="","",IF($K85="Concluído","Sim","Não"))</f>
        <v/>
      </c>
      <c r="P85" s="40" t="str">
        <f aca="true">IF($A85="","",IF($K85="Stand-by","Stand-by",IF($K85="Concluído","Concluída",IF(AND($M85&lt;&gt;"",$M85&lt;TODAY()),"Atrasada","Em dia"))))</f>
        <v/>
      </c>
      <c r="Q85" s="40" t="str">
        <f aca="false">IF($A85="","",IF(LEN(IF($J85="","título, ","")&amp;IF($C85="","responsável, ","")&amp;IF($D85="","tipo, ","")&amp;IF($I85="","canal, ","")&amp;IF($H85="","município, ","")&amp;IF(AND($U85="Sim",$E85=""),"empresa, ","")&amp;IF(AND($U85="Sim",$F85=""),"editor, ","")&amp;IF(AND($K85="Concluído",$N85=""),"data de conclusão, ","")&amp;IF(AND($K85="Concluído",$R85=""),"link, ","")&amp;IF(AND($K85="Concluído",$L85=""),"quem liberou, ",""))=0,"OK","Falta "&amp;LEFT(IF($J85="","título, ","")&amp;IF($C85="","responsável, ","")&amp;IF($D85="","tipo, ","")&amp;IF($I85="","canal, ","")&amp;IF($H85="","município, ","")&amp;IF(AND($U85="Sim",$E85=""),"empresa, ","")&amp;IF(AND($U85="Sim",$F85=""),"editor, ","")&amp;IF(AND($K85="Concluído",$N85=""),"data de conclusão, ","")&amp;IF(AND($K85="Concluído",$R85=""),"link, ","")&amp;IF(AND($K85="Concluído",$L85=""),"quem liberou, ",""),LEN(IF($J85="","título, ","")&amp;IF($C85="","responsável, ","")&amp;IF($D85="","tipo, ","")&amp;IF($I85="","canal, ","")&amp;IF($H85="","município, ","")&amp;IF(AND($U85="Sim",$E85=""),"empresa, ","")&amp;IF(AND($U85="Sim",$F85=""),"editor, ","")&amp;IF(AND($K85="Concluído",$N85=""),"data de conclusão, ","")&amp;IF(AND($K85="Concluído",$R85=""),"link, ","")&amp;IF(AND($K85="Concluído",$L85=""),"quem liberou, ",""))-2)))</f>
        <v/>
      </c>
      <c r="R85" s="38"/>
      <c r="S85" s="38"/>
      <c r="T85" s="38"/>
      <c r="U85" s="40" t="str">
        <f aca="false">IF($A85="","",IFERROR(INDEX(Listas!$E$5:$E$64,MATCH($D85,Listas!$C$5:$C$64,0)),"Não"))</f>
        <v/>
      </c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9" t="str">
        <f aca="false">IF(OR($A86="",$D86=""),"",$A86+IFERROR(INDEX(Listas!$D$5:$D$64,MATCH($D86,Listas!$C$5:$C$64,0)),3))</f>
        <v/>
      </c>
      <c r="N86" s="37"/>
      <c r="O86" s="40" t="str">
        <f aca="false">IF($A86="","",IF($K86="Concluído","Sim","Não"))</f>
        <v/>
      </c>
      <c r="P86" s="40" t="str">
        <f aca="true">IF($A86="","",IF($K86="Stand-by","Stand-by",IF($K86="Concluído","Concluída",IF(AND($M86&lt;&gt;"",$M86&lt;TODAY()),"Atrasada","Em dia"))))</f>
        <v/>
      </c>
      <c r="Q86" s="40" t="str">
        <f aca="false">IF($A86="","",IF(LEN(IF($J86="","título, ","")&amp;IF($C86="","responsável, ","")&amp;IF($D86="","tipo, ","")&amp;IF($I86="","canal, ","")&amp;IF($H86="","município, ","")&amp;IF(AND($U86="Sim",$E86=""),"empresa, ","")&amp;IF(AND($U86="Sim",$F86=""),"editor, ","")&amp;IF(AND($K86="Concluído",$N86=""),"data de conclusão, ","")&amp;IF(AND($K86="Concluído",$R86=""),"link, ","")&amp;IF(AND($K86="Concluído",$L86=""),"quem liberou, ",""))=0,"OK","Falta "&amp;LEFT(IF($J86="","título, ","")&amp;IF($C86="","responsável, ","")&amp;IF($D86="","tipo, ","")&amp;IF($I86="","canal, ","")&amp;IF($H86="","município, ","")&amp;IF(AND($U86="Sim",$E86=""),"empresa, ","")&amp;IF(AND($U86="Sim",$F86=""),"editor, ","")&amp;IF(AND($K86="Concluído",$N86=""),"data de conclusão, ","")&amp;IF(AND($K86="Concluído",$R86=""),"link, ","")&amp;IF(AND($K86="Concluído",$L86=""),"quem liberou, ",""),LEN(IF($J86="","título, ","")&amp;IF($C86="","responsável, ","")&amp;IF($D86="","tipo, ","")&amp;IF($I86="","canal, ","")&amp;IF($H86="","município, ","")&amp;IF(AND($U86="Sim",$E86=""),"empresa, ","")&amp;IF(AND($U86="Sim",$F86=""),"editor, ","")&amp;IF(AND($K86="Concluído",$N86=""),"data de conclusão, ","")&amp;IF(AND($K86="Concluído",$R86=""),"link, ","")&amp;IF(AND($K86="Concluído",$L86=""),"quem liberou, ",""))-2)))</f>
        <v/>
      </c>
      <c r="R86" s="38"/>
      <c r="S86" s="38"/>
      <c r="T86" s="38"/>
      <c r="U86" s="40" t="str">
        <f aca="false">IF($A86="","",IFERROR(INDEX(Listas!$E$5:$E$64,MATCH($D86,Listas!$C$5:$C$64,0)),"Não"))</f>
        <v/>
      </c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9" t="str">
        <f aca="false">IF(OR($A87="",$D87=""),"",$A87+IFERROR(INDEX(Listas!$D$5:$D$64,MATCH($D87,Listas!$C$5:$C$64,0)),3))</f>
        <v/>
      </c>
      <c r="N87" s="37"/>
      <c r="O87" s="40" t="str">
        <f aca="false">IF($A87="","",IF($K87="Concluído","Sim","Não"))</f>
        <v/>
      </c>
      <c r="P87" s="40" t="str">
        <f aca="true">IF($A87="","",IF($K87="Stand-by","Stand-by",IF($K87="Concluído","Concluída",IF(AND($M87&lt;&gt;"",$M87&lt;TODAY()),"Atrasada","Em dia"))))</f>
        <v/>
      </c>
      <c r="Q87" s="40" t="str">
        <f aca="false">IF($A87="","",IF(LEN(IF($J87="","título, ","")&amp;IF($C87="","responsável, ","")&amp;IF($D87="","tipo, ","")&amp;IF($I87="","canal, ","")&amp;IF($H87="","município, ","")&amp;IF(AND($U87="Sim",$E87=""),"empresa, ","")&amp;IF(AND($U87="Sim",$F87=""),"editor, ","")&amp;IF(AND($K87="Concluído",$N87=""),"data de conclusão, ","")&amp;IF(AND($K87="Concluído",$R87=""),"link, ","")&amp;IF(AND($K87="Concluído",$L87=""),"quem liberou, ",""))=0,"OK","Falta "&amp;LEFT(IF($J87="","título, ","")&amp;IF($C87="","responsável, ","")&amp;IF($D87="","tipo, ","")&amp;IF($I87="","canal, ","")&amp;IF($H87="","município, ","")&amp;IF(AND($U87="Sim",$E87=""),"empresa, ","")&amp;IF(AND($U87="Sim",$F87=""),"editor, ","")&amp;IF(AND($K87="Concluído",$N87=""),"data de conclusão, ","")&amp;IF(AND($K87="Concluído",$R87=""),"link, ","")&amp;IF(AND($K87="Concluído",$L87=""),"quem liberou, ",""),LEN(IF($J87="","título, ","")&amp;IF($C87="","responsável, ","")&amp;IF($D87="","tipo, ","")&amp;IF($I87="","canal, ","")&amp;IF($H87="","município, ","")&amp;IF(AND($U87="Sim",$E87=""),"empresa, ","")&amp;IF(AND($U87="Sim",$F87=""),"editor, ","")&amp;IF(AND($K87="Concluído",$N87=""),"data de conclusão, ","")&amp;IF(AND($K87="Concluído",$R87=""),"link, ","")&amp;IF(AND($K87="Concluído",$L87=""),"quem liberou, ",""))-2)))</f>
        <v/>
      </c>
      <c r="R87" s="38"/>
      <c r="S87" s="38"/>
      <c r="T87" s="38"/>
      <c r="U87" s="40" t="str">
        <f aca="false">IF($A87="","",IFERROR(INDEX(Listas!$E$5:$E$64,MATCH($D87,Listas!$C$5:$C$64,0)),"Não"))</f>
        <v/>
      </c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9" t="str">
        <f aca="false">IF(OR($A88="",$D88=""),"",$A88+IFERROR(INDEX(Listas!$D$5:$D$64,MATCH($D88,Listas!$C$5:$C$64,0)),3))</f>
        <v/>
      </c>
      <c r="N88" s="37"/>
      <c r="O88" s="40" t="str">
        <f aca="false">IF($A88="","",IF($K88="Concluído","Sim","Não"))</f>
        <v/>
      </c>
      <c r="P88" s="40" t="str">
        <f aca="true">IF($A88="","",IF($K88="Stand-by","Stand-by",IF($K88="Concluído","Concluída",IF(AND($M88&lt;&gt;"",$M88&lt;TODAY()),"Atrasada","Em dia"))))</f>
        <v/>
      </c>
      <c r="Q88" s="40" t="str">
        <f aca="false">IF($A88="","",IF(LEN(IF($J88="","título, ","")&amp;IF($C88="","responsável, ","")&amp;IF($D88="","tipo, ","")&amp;IF($I88="","canal, ","")&amp;IF($H88="","município, ","")&amp;IF(AND($U88="Sim",$E88=""),"empresa, ","")&amp;IF(AND($U88="Sim",$F88=""),"editor, ","")&amp;IF(AND($K88="Concluído",$N88=""),"data de conclusão, ","")&amp;IF(AND($K88="Concluído",$R88=""),"link, ","")&amp;IF(AND($K88="Concluído",$L88=""),"quem liberou, ",""))=0,"OK","Falta "&amp;LEFT(IF($J88="","título, ","")&amp;IF($C88="","responsável, ","")&amp;IF($D88="","tipo, ","")&amp;IF($I88="","canal, ","")&amp;IF($H88="","município, ","")&amp;IF(AND($U88="Sim",$E88=""),"empresa, ","")&amp;IF(AND($U88="Sim",$F88=""),"editor, ","")&amp;IF(AND($K88="Concluído",$N88=""),"data de conclusão, ","")&amp;IF(AND($K88="Concluído",$R88=""),"link, ","")&amp;IF(AND($K88="Concluído",$L88=""),"quem liberou, ",""),LEN(IF($J88="","título, ","")&amp;IF($C88="","responsável, ","")&amp;IF($D88="","tipo, ","")&amp;IF($I88="","canal, ","")&amp;IF($H88="","município, ","")&amp;IF(AND($U88="Sim",$E88=""),"empresa, ","")&amp;IF(AND($U88="Sim",$F88=""),"editor, ","")&amp;IF(AND($K88="Concluído",$N88=""),"data de conclusão, ","")&amp;IF(AND($K88="Concluído",$R88=""),"link, ","")&amp;IF(AND($K88="Concluído",$L88=""),"quem liberou, ",""))-2)))</f>
        <v/>
      </c>
      <c r="R88" s="38"/>
      <c r="S88" s="38"/>
      <c r="T88" s="38"/>
      <c r="U88" s="40" t="str">
        <f aca="false">IF($A88="","",IFERROR(INDEX(Listas!$E$5:$E$64,MATCH($D88,Listas!$C$5:$C$64,0)),"Não"))</f>
        <v/>
      </c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9" t="str">
        <f aca="false">IF(OR($A89="",$D89=""),"",$A89+IFERROR(INDEX(Listas!$D$5:$D$64,MATCH($D89,Listas!$C$5:$C$64,0)),3))</f>
        <v/>
      </c>
      <c r="N89" s="37"/>
      <c r="O89" s="40" t="str">
        <f aca="false">IF($A89="","",IF($K89="Concluído","Sim","Não"))</f>
        <v/>
      </c>
      <c r="P89" s="40" t="str">
        <f aca="true">IF($A89="","",IF($K89="Stand-by","Stand-by",IF($K89="Concluído","Concluída",IF(AND($M89&lt;&gt;"",$M89&lt;TODAY()),"Atrasada","Em dia"))))</f>
        <v/>
      </c>
      <c r="Q89" s="40" t="str">
        <f aca="false">IF($A89="","",IF(LEN(IF($J89="","título, ","")&amp;IF($C89="","responsável, ","")&amp;IF($D89="","tipo, ","")&amp;IF($I89="","canal, ","")&amp;IF($H89="","município, ","")&amp;IF(AND($U89="Sim",$E89=""),"empresa, ","")&amp;IF(AND($U89="Sim",$F89=""),"editor, ","")&amp;IF(AND($K89="Concluído",$N89=""),"data de conclusão, ","")&amp;IF(AND($K89="Concluído",$R89=""),"link, ","")&amp;IF(AND($K89="Concluído",$L89=""),"quem liberou, ",""))=0,"OK","Falta "&amp;LEFT(IF($J89="","título, ","")&amp;IF($C89="","responsável, ","")&amp;IF($D89="","tipo, ","")&amp;IF($I89="","canal, ","")&amp;IF($H89="","município, ","")&amp;IF(AND($U89="Sim",$E89=""),"empresa, ","")&amp;IF(AND($U89="Sim",$F89=""),"editor, ","")&amp;IF(AND($K89="Concluído",$N89=""),"data de conclusão, ","")&amp;IF(AND($K89="Concluído",$R89=""),"link, ","")&amp;IF(AND($K89="Concluído",$L89=""),"quem liberou, ",""),LEN(IF($J89="","título, ","")&amp;IF($C89="","responsável, ","")&amp;IF($D89="","tipo, ","")&amp;IF($I89="","canal, ","")&amp;IF($H89="","município, ","")&amp;IF(AND($U89="Sim",$E89=""),"empresa, ","")&amp;IF(AND($U89="Sim",$F89=""),"editor, ","")&amp;IF(AND($K89="Concluído",$N89=""),"data de conclusão, ","")&amp;IF(AND($K89="Concluído",$R89=""),"link, ","")&amp;IF(AND($K89="Concluído",$L89=""),"quem liberou, ",""))-2)))</f>
        <v/>
      </c>
      <c r="R89" s="38"/>
      <c r="S89" s="38"/>
      <c r="T89" s="38"/>
      <c r="U89" s="40" t="str">
        <f aca="false">IF($A89="","",IFERROR(INDEX(Listas!$E$5:$E$64,MATCH($D89,Listas!$C$5:$C$64,0)),"Não"))</f>
        <v/>
      </c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9" t="str">
        <f aca="false">IF(OR($A90="",$D90=""),"",$A90+IFERROR(INDEX(Listas!$D$5:$D$64,MATCH($D90,Listas!$C$5:$C$64,0)),3))</f>
        <v/>
      </c>
      <c r="N90" s="37"/>
      <c r="O90" s="40" t="str">
        <f aca="false">IF($A90="","",IF($K90="Concluído","Sim","Não"))</f>
        <v/>
      </c>
      <c r="P90" s="40" t="str">
        <f aca="true">IF($A90="","",IF($K90="Stand-by","Stand-by",IF($K90="Concluído","Concluída",IF(AND($M90&lt;&gt;"",$M90&lt;TODAY()),"Atrasada","Em dia"))))</f>
        <v/>
      </c>
      <c r="Q90" s="40" t="str">
        <f aca="false">IF($A90="","",IF(LEN(IF($J90="","título, ","")&amp;IF($C90="","responsável, ","")&amp;IF($D90="","tipo, ","")&amp;IF($I90="","canal, ","")&amp;IF($H90="","município, ","")&amp;IF(AND($U90="Sim",$E90=""),"empresa, ","")&amp;IF(AND($U90="Sim",$F90=""),"editor, ","")&amp;IF(AND($K90="Concluído",$N90=""),"data de conclusão, ","")&amp;IF(AND($K90="Concluído",$R90=""),"link, ","")&amp;IF(AND($K90="Concluído",$L90=""),"quem liberou, ",""))=0,"OK","Falta "&amp;LEFT(IF($J90="","título, ","")&amp;IF($C90="","responsável, ","")&amp;IF($D90="","tipo, ","")&amp;IF($I90="","canal, ","")&amp;IF($H90="","município, ","")&amp;IF(AND($U90="Sim",$E90=""),"empresa, ","")&amp;IF(AND($U90="Sim",$F90=""),"editor, ","")&amp;IF(AND($K90="Concluído",$N90=""),"data de conclusão, ","")&amp;IF(AND($K90="Concluído",$R90=""),"link, ","")&amp;IF(AND($K90="Concluído",$L90=""),"quem liberou, ",""),LEN(IF($J90="","título, ","")&amp;IF($C90="","responsável, ","")&amp;IF($D90="","tipo, ","")&amp;IF($I90="","canal, ","")&amp;IF($H90="","município, ","")&amp;IF(AND($U90="Sim",$E90=""),"empresa, ","")&amp;IF(AND($U90="Sim",$F90=""),"editor, ","")&amp;IF(AND($K90="Concluído",$N90=""),"data de conclusão, ","")&amp;IF(AND($K90="Concluído",$R90=""),"link, ","")&amp;IF(AND($K90="Concluído",$L90=""),"quem liberou, ",""))-2)))</f>
        <v/>
      </c>
      <c r="R90" s="38"/>
      <c r="S90" s="38"/>
      <c r="T90" s="38"/>
      <c r="U90" s="40" t="str">
        <f aca="false">IF($A90="","",IFERROR(INDEX(Listas!$E$5:$E$64,MATCH($D90,Listas!$C$5:$C$64,0)),"Não"))</f>
        <v/>
      </c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9" t="str">
        <f aca="false">IF(OR($A91="",$D91=""),"",$A91+IFERROR(INDEX(Listas!$D$5:$D$64,MATCH($D91,Listas!$C$5:$C$64,0)),3))</f>
        <v/>
      </c>
      <c r="N91" s="37"/>
      <c r="O91" s="40" t="str">
        <f aca="false">IF($A91="","",IF($K91="Concluído","Sim","Não"))</f>
        <v/>
      </c>
      <c r="P91" s="40" t="str">
        <f aca="true">IF($A91="","",IF($K91="Stand-by","Stand-by",IF($K91="Concluído","Concluída",IF(AND($M91&lt;&gt;"",$M91&lt;TODAY()),"Atrasada","Em dia"))))</f>
        <v/>
      </c>
      <c r="Q91" s="40" t="str">
        <f aca="false">IF($A91="","",IF(LEN(IF($J91="","título, ","")&amp;IF($C91="","responsável, ","")&amp;IF($D91="","tipo, ","")&amp;IF($I91="","canal, ","")&amp;IF($H91="","município, ","")&amp;IF(AND($U91="Sim",$E91=""),"empresa, ","")&amp;IF(AND($U91="Sim",$F91=""),"editor, ","")&amp;IF(AND($K91="Concluído",$N91=""),"data de conclusão, ","")&amp;IF(AND($K91="Concluído",$R91=""),"link, ","")&amp;IF(AND($K91="Concluído",$L91=""),"quem liberou, ",""))=0,"OK","Falta "&amp;LEFT(IF($J91="","título, ","")&amp;IF($C91="","responsável, ","")&amp;IF($D91="","tipo, ","")&amp;IF($I91="","canal, ","")&amp;IF($H91="","município, ","")&amp;IF(AND($U91="Sim",$E91=""),"empresa, ","")&amp;IF(AND($U91="Sim",$F91=""),"editor, ","")&amp;IF(AND($K91="Concluído",$N91=""),"data de conclusão, ","")&amp;IF(AND($K91="Concluído",$R91=""),"link, ","")&amp;IF(AND($K91="Concluído",$L91=""),"quem liberou, ",""),LEN(IF($J91="","título, ","")&amp;IF($C91="","responsável, ","")&amp;IF($D91="","tipo, ","")&amp;IF($I91="","canal, ","")&amp;IF($H91="","município, ","")&amp;IF(AND($U91="Sim",$E91=""),"empresa, ","")&amp;IF(AND($U91="Sim",$F91=""),"editor, ","")&amp;IF(AND($K91="Concluído",$N91=""),"data de conclusão, ","")&amp;IF(AND($K91="Concluído",$R91=""),"link, ","")&amp;IF(AND($K91="Concluído",$L91=""),"quem liberou, ",""))-2)))</f>
        <v/>
      </c>
      <c r="R91" s="38"/>
      <c r="S91" s="38"/>
      <c r="T91" s="38"/>
      <c r="U91" s="40" t="str">
        <f aca="false">IF($A91="","",IFERROR(INDEX(Listas!$E$5:$E$64,MATCH($D91,Listas!$C$5:$C$64,0)),"Não"))</f>
        <v/>
      </c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9" t="str">
        <f aca="false">IF(OR($A92="",$D92=""),"",$A92+IFERROR(INDEX(Listas!$D$5:$D$64,MATCH($D92,Listas!$C$5:$C$64,0)),3))</f>
        <v/>
      </c>
      <c r="N92" s="37"/>
      <c r="O92" s="40" t="str">
        <f aca="false">IF($A92="","",IF($K92="Concluído","Sim","Não"))</f>
        <v/>
      </c>
      <c r="P92" s="40" t="str">
        <f aca="true">IF($A92="","",IF($K92="Stand-by","Stand-by",IF($K92="Concluído","Concluída",IF(AND($M92&lt;&gt;"",$M92&lt;TODAY()),"Atrasada","Em dia"))))</f>
        <v/>
      </c>
      <c r="Q92" s="40" t="str">
        <f aca="false">IF($A92="","",IF(LEN(IF($J92="","título, ","")&amp;IF($C92="","responsável, ","")&amp;IF($D92="","tipo, ","")&amp;IF($I92="","canal, ","")&amp;IF($H92="","município, ","")&amp;IF(AND($U92="Sim",$E92=""),"empresa, ","")&amp;IF(AND($U92="Sim",$F92=""),"editor, ","")&amp;IF(AND($K92="Concluído",$N92=""),"data de conclusão, ","")&amp;IF(AND($K92="Concluído",$R92=""),"link, ","")&amp;IF(AND($K92="Concluído",$L92=""),"quem liberou, ",""))=0,"OK","Falta "&amp;LEFT(IF($J92="","título, ","")&amp;IF($C92="","responsável, ","")&amp;IF($D92="","tipo, ","")&amp;IF($I92="","canal, ","")&amp;IF($H92="","município, ","")&amp;IF(AND($U92="Sim",$E92=""),"empresa, ","")&amp;IF(AND($U92="Sim",$F92=""),"editor, ","")&amp;IF(AND($K92="Concluído",$N92=""),"data de conclusão, ","")&amp;IF(AND($K92="Concluído",$R92=""),"link, ","")&amp;IF(AND($K92="Concluído",$L92=""),"quem liberou, ",""),LEN(IF($J92="","título, ","")&amp;IF($C92="","responsável, ","")&amp;IF($D92="","tipo, ","")&amp;IF($I92="","canal, ","")&amp;IF($H92="","município, ","")&amp;IF(AND($U92="Sim",$E92=""),"empresa, ","")&amp;IF(AND($U92="Sim",$F92=""),"editor, ","")&amp;IF(AND($K92="Concluído",$N92=""),"data de conclusão, ","")&amp;IF(AND($K92="Concluído",$R92=""),"link, ","")&amp;IF(AND($K92="Concluído",$L92=""),"quem liberou, ",""))-2)))</f>
        <v/>
      </c>
      <c r="R92" s="38"/>
      <c r="S92" s="38"/>
      <c r="T92" s="38"/>
      <c r="U92" s="40" t="str">
        <f aca="false">IF($A92="","",IFERROR(INDEX(Listas!$E$5:$E$64,MATCH($D92,Listas!$C$5:$C$64,0)),"Não"))</f>
        <v/>
      </c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9" t="str">
        <f aca="false">IF(OR($A93="",$D93=""),"",$A93+IFERROR(INDEX(Listas!$D$5:$D$64,MATCH($D93,Listas!$C$5:$C$64,0)),3))</f>
        <v/>
      </c>
      <c r="N93" s="37"/>
      <c r="O93" s="40" t="str">
        <f aca="false">IF($A93="","",IF($K93="Concluído","Sim","Não"))</f>
        <v/>
      </c>
      <c r="P93" s="40" t="str">
        <f aca="true">IF($A93="","",IF($K93="Stand-by","Stand-by",IF($K93="Concluído","Concluída",IF(AND($M93&lt;&gt;"",$M93&lt;TODAY()),"Atrasada","Em dia"))))</f>
        <v/>
      </c>
      <c r="Q93" s="40" t="str">
        <f aca="false">IF($A93="","",IF(LEN(IF($J93="","título, ","")&amp;IF($C93="","responsável, ","")&amp;IF($D93="","tipo, ","")&amp;IF($I93="","canal, ","")&amp;IF($H93="","município, ","")&amp;IF(AND($U93="Sim",$E93=""),"empresa, ","")&amp;IF(AND($U93="Sim",$F93=""),"editor, ","")&amp;IF(AND($K93="Concluído",$N93=""),"data de conclusão, ","")&amp;IF(AND($K93="Concluído",$R93=""),"link, ","")&amp;IF(AND($K93="Concluído",$L93=""),"quem liberou, ",""))=0,"OK","Falta "&amp;LEFT(IF($J93="","título, ","")&amp;IF($C93="","responsável, ","")&amp;IF($D93="","tipo, ","")&amp;IF($I93="","canal, ","")&amp;IF($H93="","município, ","")&amp;IF(AND($U93="Sim",$E93=""),"empresa, ","")&amp;IF(AND($U93="Sim",$F93=""),"editor, ","")&amp;IF(AND($K93="Concluído",$N93=""),"data de conclusão, ","")&amp;IF(AND($K93="Concluído",$R93=""),"link, ","")&amp;IF(AND($K93="Concluído",$L93=""),"quem liberou, ",""),LEN(IF($J93="","título, ","")&amp;IF($C93="","responsável, ","")&amp;IF($D93="","tipo, ","")&amp;IF($I93="","canal, ","")&amp;IF($H93="","município, ","")&amp;IF(AND($U93="Sim",$E93=""),"empresa, ","")&amp;IF(AND($U93="Sim",$F93=""),"editor, ","")&amp;IF(AND($K93="Concluído",$N93=""),"data de conclusão, ","")&amp;IF(AND($K93="Concluído",$R93=""),"link, ","")&amp;IF(AND($K93="Concluído",$L93=""),"quem liberou, ",""))-2)))</f>
        <v/>
      </c>
      <c r="R93" s="38"/>
      <c r="S93" s="38"/>
      <c r="T93" s="38"/>
      <c r="U93" s="40" t="str">
        <f aca="false">IF($A93="","",IFERROR(INDEX(Listas!$E$5:$E$64,MATCH($D93,Listas!$C$5:$C$64,0)),"Não"))</f>
        <v/>
      </c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9" t="str">
        <f aca="false">IF(OR($A94="",$D94=""),"",$A94+IFERROR(INDEX(Listas!$D$5:$D$64,MATCH($D94,Listas!$C$5:$C$64,0)),3))</f>
        <v/>
      </c>
      <c r="N94" s="37"/>
      <c r="O94" s="40" t="str">
        <f aca="false">IF($A94="","",IF($K94="Concluído","Sim","Não"))</f>
        <v/>
      </c>
      <c r="P94" s="40" t="str">
        <f aca="true">IF($A94="","",IF($K94="Stand-by","Stand-by",IF($K94="Concluído","Concluída",IF(AND($M94&lt;&gt;"",$M94&lt;TODAY()),"Atrasada","Em dia"))))</f>
        <v/>
      </c>
      <c r="Q94" s="40" t="str">
        <f aca="false">IF($A94="","",IF(LEN(IF($J94="","título, ","")&amp;IF($C94="","responsável, ","")&amp;IF($D94="","tipo, ","")&amp;IF($I94="","canal, ","")&amp;IF($H94="","município, ","")&amp;IF(AND($U94="Sim",$E94=""),"empresa, ","")&amp;IF(AND($U94="Sim",$F94=""),"editor, ","")&amp;IF(AND($K94="Concluído",$N94=""),"data de conclusão, ","")&amp;IF(AND($K94="Concluído",$R94=""),"link, ","")&amp;IF(AND($K94="Concluído",$L94=""),"quem liberou, ",""))=0,"OK","Falta "&amp;LEFT(IF($J94="","título, ","")&amp;IF($C94="","responsável, ","")&amp;IF($D94="","tipo, ","")&amp;IF($I94="","canal, ","")&amp;IF($H94="","município, ","")&amp;IF(AND($U94="Sim",$E94=""),"empresa, ","")&amp;IF(AND($U94="Sim",$F94=""),"editor, ","")&amp;IF(AND($K94="Concluído",$N94=""),"data de conclusão, ","")&amp;IF(AND($K94="Concluído",$R94=""),"link, ","")&amp;IF(AND($K94="Concluído",$L94=""),"quem liberou, ",""),LEN(IF($J94="","título, ","")&amp;IF($C94="","responsável, ","")&amp;IF($D94="","tipo, ","")&amp;IF($I94="","canal, ","")&amp;IF($H94="","município, ","")&amp;IF(AND($U94="Sim",$E94=""),"empresa, ","")&amp;IF(AND($U94="Sim",$F94=""),"editor, ","")&amp;IF(AND($K94="Concluído",$N94=""),"data de conclusão, ","")&amp;IF(AND($K94="Concluído",$R94=""),"link, ","")&amp;IF(AND($K94="Concluído",$L94=""),"quem liberou, ",""))-2)))</f>
        <v/>
      </c>
      <c r="R94" s="38"/>
      <c r="S94" s="38"/>
      <c r="T94" s="38"/>
      <c r="U94" s="40" t="str">
        <f aca="false">IF($A94="","",IFERROR(INDEX(Listas!$E$5:$E$64,MATCH($D94,Listas!$C$5:$C$64,0)),"Não"))</f>
        <v/>
      </c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9" t="str">
        <f aca="false">IF(OR($A95="",$D95=""),"",$A95+IFERROR(INDEX(Listas!$D$5:$D$64,MATCH($D95,Listas!$C$5:$C$64,0)),3))</f>
        <v/>
      </c>
      <c r="N95" s="37"/>
      <c r="O95" s="40" t="str">
        <f aca="false">IF($A95="","",IF($K95="Concluído","Sim","Não"))</f>
        <v/>
      </c>
      <c r="P95" s="40" t="str">
        <f aca="true">IF($A95="","",IF($K95="Stand-by","Stand-by",IF($K95="Concluído","Concluída",IF(AND($M95&lt;&gt;"",$M95&lt;TODAY()),"Atrasada","Em dia"))))</f>
        <v/>
      </c>
      <c r="Q95" s="40" t="str">
        <f aca="false">IF($A95="","",IF(LEN(IF($J95="","título, ","")&amp;IF($C95="","responsável, ","")&amp;IF($D95="","tipo, ","")&amp;IF($I95="","canal, ","")&amp;IF($H95="","município, ","")&amp;IF(AND($U95="Sim",$E95=""),"empresa, ","")&amp;IF(AND($U95="Sim",$F95=""),"editor, ","")&amp;IF(AND($K95="Concluído",$N95=""),"data de conclusão, ","")&amp;IF(AND($K95="Concluído",$R95=""),"link, ","")&amp;IF(AND($K95="Concluído",$L95=""),"quem liberou, ",""))=0,"OK","Falta "&amp;LEFT(IF($J95="","título, ","")&amp;IF($C95="","responsável, ","")&amp;IF($D95="","tipo, ","")&amp;IF($I95="","canal, ","")&amp;IF($H95="","município, ","")&amp;IF(AND($U95="Sim",$E95=""),"empresa, ","")&amp;IF(AND($U95="Sim",$F95=""),"editor, ","")&amp;IF(AND($K95="Concluído",$N95=""),"data de conclusão, ","")&amp;IF(AND($K95="Concluído",$R95=""),"link, ","")&amp;IF(AND($K95="Concluído",$L95=""),"quem liberou, ",""),LEN(IF($J95="","título, ","")&amp;IF($C95="","responsável, ","")&amp;IF($D95="","tipo, ","")&amp;IF($I95="","canal, ","")&amp;IF($H95="","município, ","")&amp;IF(AND($U95="Sim",$E95=""),"empresa, ","")&amp;IF(AND($U95="Sim",$F95=""),"editor, ","")&amp;IF(AND($K95="Concluído",$N95=""),"data de conclusão, ","")&amp;IF(AND($K95="Concluído",$R95=""),"link, ","")&amp;IF(AND($K95="Concluído",$L95=""),"quem liberou, ",""))-2)))</f>
        <v/>
      </c>
      <c r="R95" s="38"/>
      <c r="S95" s="38"/>
      <c r="T95" s="38"/>
      <c r="U95" s="40" t="str">
        <f aca="false">IF($A95="","",IFERROR(INDEX(Listas!$E$5:$E$64,MATCH($D95,Listas!$C$5:$C$64,0)),"Não"))</f>
        <v/>
      </c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9" t="str">
        <f aca="false">IF(OR($A96="",$D96=""),"",$A96+IFERROR(INDEX(Listas!$D$5:$D$64,MATCH($D96,Listas!$C$5:$C$64,0)),3))</f>
        <v/>
      </c>
      <c r="N96" s="37"/>
      <c r="O96" s="40" t="str">
        <f aca="false">IF($A96="","",IF($K96="Concluído","Sim","Não"))</f>
        <v/>
      </c>
      <c r="P96" s="40" t="str">
        <f aca="true">IF($A96="","",IF($K96="Stand-by","Stand-by",IF($K96="Concluído","Concluída",IF(AND($M96&lt;&gt;"",$M96&lt;TODAY()),"Atrasada","Em dia"))))</f>
        <v/>
      </c>
      <c r="Q96" s="40" t="str">
        <f aca="false">IF($A96="","",IF(LEN(IF($J96="","título, ","")&amp;IF($C96="","responsável, ","")&amp;IF($D96="","tipo, ","")&amp;IF($I96="","canal, ","")&amp;IF($H96="","município, ","")&amp;IF(AND($U96="Sim",$E96=""),"empresa, ","")&amp;IF(AND($U96="Sim",$F96=""),"editor, ","")&amp;IF(AND($K96="Concluído",$N96=""),"data de conclusão, ","")&amp;IF(AND($K96="Concluído",$R96=""),"link, ","")&amp;IF(AND($K96="Concluído",$L96=""),"quem liberou, ",""))=0,"OK","Falta "&amp;LEFT(IF($J96="","título, ","")&amp;IF($C96="","responsável, ","")&amp;IF($D96="","tipo, ","")&amp;IF($I96="","canal, ","")&amp;IF($H96="","município, ","")&amp;IF(AND($U96="Sim",$E96=""),"empresa, ","")&amp;IF(AND($U96="Sim",$F96=""),"editor, ","")&amp;IF(AND($K96="Concluído",$N96=""),"data de conclusão, ","")&amp;IF(AND($K96="Concluído",$R96=""),"link, ","")&amp;IF(AND($K96="Concluído",$L96=""),"quem liberou, ",""),LEN(IF($J96="","título, ","")&amp;IF($C96="","responsável, ","")&amp;IF($D96="","tipo, ","")&amp;IF($I96="","canal, ","")&amp;IF($H96="","município, ","")&amp;IF(AND($U96="Sim",$E96=""),"empresa, ","")&amp;IF(AND($U96="Sim",$F96=""),"editor, ","")&amp;IF(AND($K96="Concluído",$N96=""),"data de conclusão, ","")&amp;IF(AND($K96="Concluído",$R96=""),"link, ","")&amp;IF(AND($K96="Concluído",$L96=""),"quem liberou, ",""))-2)))</f>
        <v/>
      </c>
      <c r="R96" s="38"/>
      <c r="S96" s="38"/>
      <c r="T96" s="38"/>
      <c r="U96" s="40" t="str">
        <f aca="false">IF($A96="","",IFERROR(INDEX(Listas!$E$5:$E$64,MATCH($D96,Listas!$C$5:$C$64,0)),"Não"))</f>
        <v/>
      </c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9" t="str">
        <f aca="false">IF(OR($A97="",$D97=""),"",$A97+IFERROR(INDEX(Listas!$D$5:$D$64,MATCH($D97,Listas!$C$5:$C$64,0)),3))</f>
        <v/>
      </c>
      <c r="N97" s="37"/>
      <c r="O97" s="40" t="str">
        <f aca="false">IF($A97="","",IF($K97="Concluído","Sim","Não"))</f>
        <v/>
      </c>
      <c r="P97" s="40" t="str">
        <f aca="true">IF($A97="","",IF($K97="Stand-by","Stand-by",IF($K97="Concluído","Concluída",IF(AND($M97&lt;&gt;"",$M97&lt;TODAY()),"Atrasada","Em dia"))))</f>
        <v/>
      </c>
      <c r="Q97" s="40" t="str">
        <f aca="false">IF($A97="","",IF(LEN(IF($J97="","título, ","")&amp;IF($C97="","responsável, ","")&amp;IF($D97="","tipo, ","")&amp;IF($I97="","canal, ","")&amp;IF($H97="","município, ","")&amp;IF(AND($U97="Sim",$E97=""),"empresa, ","")&amp;IF(AND($U97="Sim",$F97=""),"editor, ","")&amp;IF(AND($K97="Concluído",$N97=""),"data de conclusão, ","")&amp;IF(AND($K97="Concluído",$R97=""),"link, ","")&amp;IF(AND($K97="Concluído",$L97=""),"quem liberou, ",""))=0,"OK","Falta "&amp;LEFT(IF($J97="","título, ","")&amp;IF($C97="","responsável, ","")&amp;IF($D97="","tipo, ","")&amp;IF($I97="","canal, ","")&amp;IF($H97="","município, ","")&amp;IF(AND($U97="Sim",$E97=""),"empresa, ","")&amp;IF(AND($U97="Sim",$F97=""),"editor, ","")&amp;IF(AND($K97="Concluído",$N97=""),"data de conclusão, ","")&amp;IF(AND($K97="Concluído",$R97=""),"link, ","")&amp;IF(AND($K97="Concluído",$L97=""),"quem liberou, ",""),LEN(IF($J97="","título, ","")&amp;IF($C97="","responsável, ","")&amp;IF($D97="","tipo, ","")&amp;IF($I97="","canal, ","")&amp;IF($H97="","município, ","")&amp;IF(AND($U97="Sim",$E97=""),"empresa, ","")&amp;IF(AND($U97="Sim",$F97=""),"editor, ","")&amp;IF(AND($K97="Concluído",$N97=""),"data de conclusão, ","")&amp;IF(AND($K97="Concluído",$R97=""),"link, ","")&amp;IF(AND($K97="Concluído",$L97=""),"quem liberou, ",""))-2)))</f>
        <v/>
      </c>
      <c r="R97" s="38"/>
      <c r="S97" s="38"/>
      <c r="T97" s="38"/>
      <c r="U97" s="40" t="str">
        <f aca="false">IF($A97="","",IFERROR(INDEX(Listas!$E$5:$E$64,MATCH($D97,Listas!$C$5:$C$64,0)),"Não"))</f>
        <v/>
      </c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9" t="str">
        <f aca="false">IF(OR($A98="",$D98=""),"",$A98+IFERROR(INDEX(Listas!$D$5:$D$64,MATCH($D98,Listas!$C$5:$C$64,0)),3))</f>
        <v/>
      </c>
      <c r="N98" s="37"/>
      <c r="O98" s="40" t="str">
        <f aca="false">IF($A98="","",IF($K98="Concluído","Sim","Não"))</f>
        <v/>
      </c>
      <c r="P98" s="40" t="str">
        <f aca="true">IF($A98="","",IF($K98="Stand-by","Stand-by",IF($K98="Concluído","Concluída",IF(AND($M98&lt;&gt;"",$M98&lt;TODAY()),"Atrasada","Em dia"))))</f>
        <v/>
      </c>
      <c r="Q98" s="40" t="str">
        <f aca="false">IF($A98="","",IF(LEN(IF($J98="","título, ","")&amp;IF($C98="","responsável, ","")&amp;IF($D98="","tipo, ","")&amp;IF($I98="","canal, ","")&amp;IF($H98="","município, ","")&amp;IF(AND($U98="Sim",$E98=""),"empresa, ","")&amp;IF(AND($U98="Sim",$F98=""),"editor, ","")&amp;IF(AND($K98="Concluído",$N98=""),"data de conclusão, ","")&amp;IF(AND($K98="Concluído",$R98=""),"link, ","")&amp;IF(AND($K98="Concluído",$L98=""),"quem liberou, ",""))=0,"OK","Falta "&amp;LEFT(IF($J98="","título, ","")&amp;IF($C98="","responsável, ","")&amp;IF($D98="","tipo, ","")&amp;IF($I98="","canal, ","")&amp;IF($H98="","município, ","")&amp;IF(AND($U98="Sim",$E98=""),"empresa, ","")&amp;IF(AND($U98="Sim",$F98=""),"editor, ","")&amp;IF(AND($K98="Concluído",$N98=""),"data de conclusão, ","")&amp;IF(AND($K98="Concluído",$R98=""),"link, ","")&amp;IF(AND($K98="Concluído",$L98=""),"quem liberou, ",""),LEN(IF($J98="","título, ","")&amp;IF($C98="","responsável, ","")&amp;IF($D98="","tipo, ","")&amp;IF($I98="","canal, ","")&amp;IF($H98="","município, ","")&amp;IF(AND($U98="Sim",$E98=""),"empresa, ","")&amp;IF(AND($U98="Sim",$F98=""),"editor, ","")&amp;IF(AND($K98="Concluído",$N98=""),"data de conclusão, ","")&amp;IF(AND($K98="Concluído",$R98=""),"link, ","")&amp;IF(AND($K98="Concluído",$L98=""),"quem liberou, ",""))-2)))</f>
        <v/>
      </c>
      <c r="R98" s="38"/>
      <c r="S98" s="38"/>
      <c r="T98" s="38"/>
      <c r="U98" s="40" t="str">
        <f aca="false">IF($A98="","",IFERROR(INDEX(Listas!$E$5:$E$64,MATCH($D98,Listas!$C$5:$C$64,0)),"Não"))</f>
        <v/>
      </c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9" t="str">
        <f aca="false">IF(OR($A99="",$D99=""),"",$A99+IFERROR(INDEX(Listas!$D$5:$D$64,MATCH($D99,Listas!$C$5:$C$64,0)),3))</f>
        <v/>
      </c>
      <c r="N99" s="37"/>
      <c r="O99" s="40" t="str">
        <f aca="false">IF($A99="","",IF($K99="Concluído","Sim","Não"))</f>
        <v/>
      </c>
      <c r="P99" s="40" t="str">
        <f aca="true">IF($A99="","",IF($K99="Stand-by","Stand-by",IF($K99="Concluído","Concluída",IF(AND($M99&lt;&gt;"",$M99&lt;TODAY()),"Atrasada","Em dia"))))</f>
        <v/>
      </c>
      <c r="Q99" s="40" t="str">
        <f aca="false">IF($A99="","",IF(LEN(IF($J99="","título, ","")&amp;IF($C99="","responsável, ","")&amp;IF($D99="","tipo, ","")&amp;IF($I99="","canal, ","")&amp;IF($H99="","município, ","")&amp;IF(AND($U99="Sim",$E99=""),"empresa, ","")&amp;IF(AND($U99="Sim",$F99=""),"editor, ","")&amp;IF(AND($K99="Concluído",$N99=""),"data de conclusão, ","")&amp;IF(AND($K99="Concluído",$R99=""),"link, ","")&amp;IF(AND($K99="Concluído",$L99=""),"quem liberou, ",""))=0,"OK","Falta "&amp;LEFT(IF($J99="","título, ","")&amp;IF($C99="","responsável, ","")&amp;IF($D99="","tipo, ","")&amp;IF($I99="","canal, ","")&amp;IF($H99="","município, ","")&amp;IF(AND($U99="Sim",$E99=""),"empresa, ","")&amp;IF(AND($U99="Sim",$F99=""),"editor, ","")&amp;IF(AND($K99="Concluído",$N99=""),"data de conclusão, ","")&amp;IF(AND($K99="Concluído",$R99=""),"link, ","")&amp;IF(AND($K99="Concluído",$L99=""),"quem liberou, ",""),LEN(IF($J99="","título, ","")&amp;IF($C99="","responsável, ","")&amp;IF($D99="","tipo, ","")&amp;IF($I99="","canal, ","")&amp;IF($H99="","município, ","")&amp;IF(AND($U99="Sim",$E99=""),"empresa, ","")&amp;IF(AND($U99="Sim",$F99=""),"editor, ","")&amp;IF(AND($K99="Concluído",$N99=""),"data de conclusão, ","")&amp;IF(AND($K99="Concluído",$R99=""),"link, ","")&amp;IF(AND($K99="Concluído",$L99=""),"quem liberou, ",""))-2)))</f>
        <v/>
      </c>
      <c r="R99" s="38"/>
      <c r="S99" s="38"/>
      <c r="T99" s="38"/>
      <c r="U99" s="40" t="str">
        <f aca="false">IF($A99="","",IFERROR(INDEX(Listas!$E$5:$E$64,MATCH($D99,Listas!$C$5:$C$64,0)),"Não"))</f>
        <v/>
      </c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9" t="str">
        <f aca="false">IF(OR($A100="",$D100=""),"",$A100+IFERROR(INDEX(Listas!$D$5:$D$64,MATCH($D100,Listas!$C$5:$C$64,0)),3))</f>
        <v/>
      </c>
      <c r="N100" s="37"/>
      <c r="O100" s="40" t="str">
        <f aca="false">IF($A100="","",IF($K100="Concluído","Sim","Não"))</f>
        <v/>
      </c>
      <c r="P100" s="40" t="str">
        <f aca="true">IF($A100="","",IF($K100="Stand-by","Stand-by",IF($K100="Concluído","Concluída",IF(AND($M100&lt;&gt;"",$M100&lt;TODAY()),"Atrasada","Em dia"))))</f>
        <v/>
      </c>
      <c r="Q100" s="40" t="str">
        <f aca="false">IF($A100="","",IF(LEN(IF($J100="","título, ","")&amp;IF($C100="","responsável, ","")&amp;IF($D100="","tipo, ","")&amp;IF($I100="","canal, ","")&amp;IF($H100="","município, ","")&amp;IF(AND($U100="Sim",$E100=""),"empresa, ","")&amp;IF(AND($U100="Sim",$F100=""),"editor, ","")&amp;IF(AND($K100="Concluído",$N100=""),"data de conclusão, ","")&amp;IF(AND($K100="Concluído",$R100=""),"link, ","")&amp;IF(AND($K100="Concluído",$L100=""),"quem liberou, ",""))=0,"OK","Falta "&amp;LEFT(IF($J100="","título, ","")&amp;IF($C100="","responsável, ","")&amp;IF($D100="","tipo, ","")&amp;IF($I100="","canal, ","")&amp;IF($H100="","município, ","")&amp;IF(AND($U100="Sim",$E100=""),"empresa, ","")&amp;IF(AND($U100="Sim",$F100=""),"editor, ","")&amp;IF(AND($K100="Concluído",$N100=""),"data de conclusão, ","")&amp;IF(AND($K100="Concluído",$R100=""),"link, ","")&amp;IF(AND($K100="Concluído",$L100=""),"quem liberou, ",""),LEN(IF($J100="","título, ","")&amp;IF($C100="","responsável, ","")&amp;IF($D100="","tipo, ","")&amp;IF($I100="","canal, ","")&amp;IF($H100="","município, ","")&amp;IF(AND($U100="Sim",$E100=""),"empresa, ","")&amp;IF(AND($U100="Sim",$F100=""),"editor, ","")&amp;IF(AND($K100="Concluído",$N100=""),"data de conclusão, ","")&amp;IF(AND($K100="Concluído",$R100=""),"link, ","")&amp;IF(AND($K100="Concluído",$L100=""),"quem liberou, ",""))-2)))</f>
        <v/>
      </c>
      <c r="R100" s="38"/>
      <c r="S100" s="38"/>
      <c r="T100" s="38"/>
      <c r="U100" s="40" t="str">
        <f aca="false">IF($A100="","",IFERROR(INDEX(Listas!$E$5:$E$64,MATCH($D100,Listas!$C$5:$C$64,0)),"Não"))</f>
        <v/>
      </c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9" t="str">
        <f aca="false">IF(OR($A101="",$D101=""),"",$A101+IFERROR(INDEX(Listas!$D$5:$D$64,MATCH($D101,Listas!$C$5:$C$64,0)),3))</f>
        <v/>
      </c>
      <c r="N101" s="37"/>
      <c r="O101" s="40" t="str">
        <f aca="false">IF($A101="","",IF($K101="Concluído","Sim","Não"))</f>
        <v/>
      </c>
      <c r="P101" s="40" t="str">
        <f aca="true">IF($A101="","",IF($K101="Stand-by","Stand-by",IF($K101="Concluído","Concluída",IF(AND($M101&lt;&gt;"",$M101&lt;TODAY()),"Atrasada","Em dia"))))</f>
        <v/>
      </c>
      <c r="Q101" s="40" t="str">
        <f aca="false">IF($A101="","",IF(LEN(IF($J101="","título, ","")&amp;IF($C101="","responsável, ","")&amp;IF($D101="","tipo, ","")&amp;IF($I101="","canal, ","")&amp;IF($H101="","município, ","")&amp;IF(AND($U101="Sim",$E101=""),"empresa, ","")&amp;IF(AND($U101="Sim",$F101=""),"editor, ","")&amp;IF(AND($K101="Concluído",$N101=""),"data de conclusão, ","")&amp;IF(AND($K101="Concluído",$R101=""),"link, ","")&amp;IF(AND($K101="Concluído",$L101=""),"quem liberou, ",""))=0,"OK","Falta "&amp;LEFT(IF($J101="","título, ","")&amp;IF($C101="","responsável, ","")&amp;IF($D101="","tipo, ","")&amp;IF($I101="","canal, ","")&amp;IF($H101="","município, ","")&amp;IF(AND($U101="Sim",$E101=""),"empresa, ","")&amp;IF(AND($U101="Sim",$F101=""),"editor, ","")&amp;IF(AND($K101="Concluído",$N101=""),"data de conclusão, ","")&amp;IF(AND($K101="Concluído",$R101=""),"link, ","")&amp;IF(AND($K101="Concluído",$L101=""),"quem liberou, ",""),LEN(IF($J101="","título, ","")&amp;IF($C101="","responsável, ","")&amp;IF($D101="","tipo, ","")&amp;IF($I101="","canal, ","")&amp;IF($H101="","município, ","")&amp;IF(AND($U101="Sim",$E101=""),"empresa, ","")&amp;IF(AND($U101="Sim",$F101=""),"editor, ","")&amp;IF(AND($K101="Concluído",$N101=""),"data de conclusão, ","")&amp;IF(AND($K101="Concluído",$R101=""),"link, ","")&amp;IF(AND($K101="Concluído",$L101=""),"quem liberou, ",""))-2)))</f>
        <v/>
      </c>
      <c r="R101" s="38"/>
      <c r="S101" s="38"/>
      <c r="T101" s="38"/>
      <c r="U101" s="40" t="str">
        <f aca="false">IF($A101="","",IFERROR(INDEX(Listas!$E$5:$E$64,MATCH($D101,Listas!$C$5:$C$64,0)),"Não"))</f>
        <v/>
      </c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9" t="str">
        <f aca="false">IF(OR($A102="",$D102=""),"",$A102+IFERROR(INDEX(Listas!$D$5:$D$64,MATCH($D102,Listas!$C$5:$C$64,0)),3))</f>
        <v/>
      </c>
      <c r="N102" s="37"/>
      <c r="O102" s="40" t="str">
        <f aca="false">IF($A102="","",IF($K102="Concluído","Sim","Não"))</f>
        <v/>
      </c>
      <c r="P102" s="40" t="str">
        <f aca="true">IF($A102="","",IF($K102="Stand-by","Stand-by",IF($K102="Concluído","Concluída",IF(AND($M102&lt;&gt;"",$M102&lt;TODAY()),"Atrasada","Em dia"))))</f>
        <v/>
      </c>
      <c r="Q102" s="40" t="str">
        <f aca="false">IF($A102="","",IF(LEN(IF($J102="","título, ","")&amp;IF($C102="","responsável, ","")&amp;IF($D102="","tipo, ","")&amp;IF($I102="","canal, ","")&amp;IF($H102="","município, ","")&amp;IF(AND($U102="Sim",$E102=""),"empresa, ","")&amp;IF(AND($U102="Sim",$F102=""),"editor, ","")&amp;IF(AND($K102="Concluído",$N102=""),"data de conclusão, ","")&amp;IF(AND($K102="Concluído",$R102=""),"link, ","")&amp;IF(AND($K102="Concluído",$L102=""),"quem liberou, ",""))=0,"OK","Falta "&amp;LEFT(IF($J102="","título, ","")&amp;IF($C102="","responsável, ","")&amp;IF($D102="","tipo, ","")&amp;IF($I102="","canal, ","")&amp;IF($H102="","município, ","")&amp;IF(AND($U102="Sim",$E102=""),"empresa, ","")&amp;IF(AND($U102="Sim",$F102=""),"editor, ","")&amp;IF(AND($K102="Concluído",$N102=""),"data de conclusão, ","")&amp;IF(AND($K102="Concluído",$R102=""),"link, ","")&amp;IF(AND($K102="Concluído",$L102=""),"quem liberou, ",""),LEN(IF($J102="","título, ","")&amp;IF($C102="","responsável, ","")&amp;IF($D102="","tipo, ","")&amp;IF($I102="","canal, ","")&amp;IF($H102="","município, ","")&amp;IF(AND($U102="Sim",$E102=""),"empresa, ","")&amp;IF(AND($U102="Sim",$F102=""),"editor, ","")&amp;IF(AND($K102="Concluído",$N102=""),"data de conclusão, ","")&amp;IF(AND($K102="Concluído",$R102=""),"link, ","")&amp;IF(AND($K102="Concluído",$L102=""),"quem liberou, ",""))-2)))</f>
        <v/>
      </c>
      <c r="R102" s="38"/>
      <c r="S102" s="38"/>
      <c r="T102" s="38"/>
      <c r="U102" s="40" t="str">
        <f aca="false">IF($A102="","",IFERROR(INDEX(Listas!$E$5:$E$64,MATCH($D102,Listas!$C$5:$C$64,0)),"Não"))</f>
        <v/>
      </c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9" t="str">
        <f aca="false">IF(OR($A103="",$D103=""),"",$A103+IFERROR(INDEX(Listas!$D$5:$D$64,MATCH($D103,Listas!$C$5:$C$64,0)),3))</f>
        <v/>
      </c>
      <c r="N103" s="37"/>
      <c r="O103" s="40" t="str">
        <f aca="false">IF($A103="","",IF($K103="Concluído","Sim","Não"))</f>
        <v/>
      </c>
      <c r="P103" s="40" t="str">
        <f aca="true">IF($A103="","",IF($K103="Stand-by","Stand-by",IF($K103="Concluído","Concluída",IF(AND($M103&lt;&gt;"",$M103&lt;TODAY()),"Atrasada","Em dia"))))</f>
        <v/>
      </c>
      <c r="Q103" s="40" t="str">
        <f aca="false">IF($A103="","",IF(LEN(IF($J103="","título, ","")&amp;IF($C103="","responsável, ","")&amp;IF($D103="","tipo, ","")&amp;IF($I103="","canal, ","")&amp;IF($H103="","município, ","")&amp;IF(AND($U103="Sim",$E103=""),"empresa, ","")&amp;IF(AND($U103="Sim",$F103=""),"editor, ","")&amp;IF(AND($K103="Concluído",$N103=""),"data de conclusão, ","")&amp;IF(AND($K103="Concluído",$R103=""),"link, ","")&amp;IF(AND($K103="Concluído",$L103=""),"quem liberou, ",""))=0,"OK","Falta "&amp;LEFT(IF($J103="","título, ","")&amp;IF($C103="","responsável, ","")&amp;IF($D103="","tipo, ","")&amp;IF($I103="","canal, ","")&amp;IF($H103="","município, ","")&amp;IF(AND($U103="Sim",$E103=""),"empresa, ","")&amp;IF(AND($U103="Sim",$F103=""),"editor, ","")&amp;IF(AND($K103="Concluído",$N103=""),"data de conclusão, ","")&amp;IF(AND($K103="Concluído",$R103=""),"link, ","")&amp;IF(AND($K103="Concluído",$L103=""),"quem liberou, ",""),LEN(IF($J103="","título, ","")&amp;IF($C103="","responsável, ","")&amp;IF($D103="","tipo, ","")&amp;IF($I103="","canal, ","")&amp;IF($H103="","município, ","")&amp;IF(AND($U103="Sim",$E103=""),"empresa, ","")&amp;IF(AND($U103="Sim",$F103=""),"editor, ","")&amp;IF(AND($K103="Concluído",$N103=""),"data de conclusão, ","")&amp;IF(AND($K103="Concluído",$R103=""),"link, ","")&amp;IF(AND($K103="Concluído",$L103=""),"quem liberou, ",""))-2)))</f>
        <v/>
      </c>
      <c r="R103" s="38"/>
      <c r="S103" s="38"/>
      <c r="T103" s="38"/>
      <c r="U103" s="40" t="str">
        <f aca="false">IF($A103="","",IFERROR(INDEX(Listas!$E$5:$E$64,MATCH($D103,Listas!$C$5:$C$64,0)),"Não"))</f>
        <v/>
      </c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9" t="str">
        <f aca="false">IF(OR($A104="",$D104=""),"",$A104+IFERROR(INDEX(Listas!$D$5:$D$64,MATCH($D104,Listas!$C$5:$C$64,0)),3))</f>
        <v/>
      </c>
      <c r="N104" s="37"/>
      <c r="O104" s="40" t="str">
        <f aca="false">IF($A104="","",IF($K104="Concluído","Sim","Não"))</f>
        <v/>
      </c>
      <c r="P104" s="40" t="str">
        <f aca="true">IF($A104="","",IF($K104="Stand-by","Stand-by",IF($K104="Concluído","Concluída",IF(AND($M104&lt;&gt;"",$M104&lt;TODAY()),"Atrasada","Em dia"))))</f>
        <v/>
      </c>
      <c r="Q104" s="40" t="str">
        <f aca="false">IF($A104="","",IF(LEN(IF($J104="","título, ","")&amp;IF($C104="","responsável, ","")&amp;IF($D104="","tipo, ","")&amp;IF($I104="","canal, ","")&amp;IF($H104="","município, ","")&amp;IF(AND($U104="Sim",$E104=""),"empresa, ","")&amp;IF(AND($U104="Sim",$F104=""),"editor, ","")&amp;IF(AND($K104="Concluído",$N104=""),"data de conclusão, ","")&amp;IF(AND($K104="Concluído",$R104=""),"link, ","")&amp;IF(AND($K104="Concluído",$L104=""),"quem liberou, ",""))=0,"OK","Falta "&amp;LEFT(IF($J104="","título, ","")&amp;IF($C104="","responsável, ","")&amp;IF($D104="","tipo, ","")&amp;IF($I104="","canal, ","")&amp;IF($H104="","município, ","")&amp;IF(AND($U104="Sim",$E104=""),"empresa, ","")&amp;IF(AND($U104="Sim",$F104=""),"editor, ","")&amp;IF(AND($K104="Concluído",$N104=""),"data de conclusão, ","")&amp;IF(AND($K104="Concluído",$R104=""),"link, ","")&amp;IF(AND($K104="Concluído",$L104=""),"quem liberou, ",""),LEN(IF($J104="","título, ","")&amp;IF($C104="","responsável, ","")&amp;IF($D104="","tipo, ","")&amp;IF($I104="","canal, ","")&amp;IF($H104="","município, ","")&amp;IF(AND($U104="Sim",$E104=""),"empresa, ","")&amp;IF(AND($U104="Sim",$F104=""),"editor, ","")&amp;IF(AND($K104="Concluído",$N104=""),"data de conclusão, ","")&amp;IF(AND($K104="Concluído",$R104=""),"link, ","")&amp;IF(AND($K104="Concluído",$L104=""),"quem liberou, ",""))-2)))</f>
        <v/>
      </c>
      <c r="R104" s="38"/>
      <c r="S104" s="38"/>
      <c r="T104" s="38"/>
      <c r="U104" s="40" t="str">
        <f aca="false">IF($A104="","",IFERROR(INDEX(Listas!$E$5:$E$64,MATCH($D104,Listas!$C$5:$C$64,0)),"Não"))</f>
        <v/>
      </c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9" t="str">
        <f aca="false">IF(OR($A105="",$D105=""),"",$A105+IFERROR(INDEX(Listas!$D$5:$D$64,MATCH($D105,Listas!$C$5:$C$64,0)),3))</f>
        <v/>
      </c>
      <c r="N105" s="37"/>
      <c r="O105" s="40" t="str">
        <f aca="false">IF($A105="","",IF($K105="Concluído","Sim","Não"))</f>
        <v/>
      </c>
      <c r="P105" s="40" t="str">
        <f aca="true">IF($A105="","",IF($K105="Stand-by","Stand-by",IF($K105="Concluído","Concluída",IF(AND($M105&lt;&gt;"",$M105&lt;TODAY()),"Atrasada","Em dia"))))</f>
        <v/>
      </c>
      <c r="Q105" s="40" t="str">
        <f aca="false">IF($A105="","",IF(LEN(IF($J105="","título, ","")&amp;IF($C105="","responsável, ","")&amp;IF($D105="","tipo, ","")&amp;IF($I105="","canal, ","")&amp;IF($H105="","município, ","")&amp;IF(AND($U105="Sim",$E105=""),"empresa, ","")&amp;IF(AND($U105="Sim",$F105=""),"editor, ","")&amp;IF(AND($K105="Concluído",$N105=""),"data de conclusão, ","")&amp;IF(AND($K105="Concluído",$R105=""),"link, ","")&amp;IF(AND($K105="Concluído",$L105=""),"quem liberou, ",""))=0,"OK","Falta "&amp;LEFT(IF($J105="","título, ","")&amp;IF($C105="","responsável, ","")&amp;IF($D105="","tipo, ","")&amp;IF($I105="","canal, ","")&amp;IF($H105="","município, ","")&amp;IF(AND($U105="Sim",$E105=""),"empresa, ","")&amp;IF(AND($U105="Sim",$F105=""),"editor, ","")&amp;IF(AND($K105="Concluído",$N105=""),"data de conclusão, ","")&amp;IF(AND($K105="Concluído",$R105=""),"link, ","")&amp;IF(AND($K105="Concluído",$L105=""),"quem liberou, ",""),LEN(IF($J105="","título, ","")&amp;IF($C105="","responsável, ","")&amp;IF($D105="","tipo, ","")&amp;IF($I105="","canal, ","")&amp;IF($H105="","município, ","")&amp;IF(AND($U105="Sim",$E105=""),"empresa, ","")&amp;IF(AND($U105="Sim",$F105=""),"editor, ","")&amp;IF(AND($K105="Concluído",$N105=""),"data de conclusão, ","")&amp;IF(AND($K105="Concluído",$R105=""),"link, ","")&amp;IF(AND($K105="Concluído",$L105=""),"quem liberou, ",""))-2)))</f>
        <v/>
      </c>
      <c r="R105" s="38"/>
      <c r="S105" s="38"/>
      <c r="T105" s="38"/>
      <c r="U105" s="40" t="str">
        <f aca="false">IF($A105="","",IFERROR(INDEX(Listas!$E$5:$E$64,MATCH($D105,Listas!$C$5:$C$64,0)),"Não"))</f>
        <v/>
      </c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9" t="str">
        <f aca="false">IF(OR($A106="",$D106=""),"",$A106+IFERROR(INDEX(Listas!$D$5:$D$64,MATCH($D106,Listas!$C$5:$C$64,0)),3))</f>
        <v/>
      </c>
      <c r="N106" s="37"/>
      <c r="O106" s="40" t="str">
        <f aca="false">IF($A106="","",IF($K106="Concluído","Sim","Não"))</f>
        <v/>
      </c>
      <c r="P106" s="40" t="str">
        <f aca="true">IF($A106="","",IF($K106="Stand-by","Stand-by",IF($K106="Concluído","Concluída",IF(AND($M106&lt;&gt;"",$M106&lt;TODAY()),"Atrasada","Em dia"))))</f>
        <v/>
      </c>
      <c r="Q106" s="40" t="str">
        <f aca="false">IF($A106="","",IF(LEN(IF($J106="","título, ","")&amp;IF($C106="","responsável, ","")&amp;IF($D106="","tipo, ","")&amp;IF($I106="","canal, ","")&amp;IF($H106="","município, ","")&amp;IF(AND($U106="Sim",$E106=""),"empresa, ","")&amp;IF(AND($U106="Sim",$F106=""),"editor, ","")&amp;IF(AND($K106="Concluído",$N106=""),"data de conclusão, ","")&amp;IF(AND($K106="Concluído",$R106=""),"link, ","")&amp;IF(AND($K106="Concluído",$L106=""),"quem liberou, ",""))=0,"OK","Falta "&amp;LEFT(IF($J106="","título, ","")&amp;IF($C106="","responsável, ","")&amp;IF($D106="","tipo, ","")&amp;IF($I106="","canal, ","")&amp;IF($H106="","município, ","")&amp;IF(AND($U106="Sim",$E106=""),"empresa, ","")&amp;IF(AND($U106="Sim",$F106=""),"editor, ","")&amp;IF(AND($K106="Concluído",$N106=""),"data de conclusão, ","")&amp;IF(AND($K106="Concluído",$R106=""),"link, ","")&amp;IF(AND($K106="Concluído",$L106=""),"quem liberou, ",""),LEN(IF($J106="","título, ","")&amp;IF($C106="","responsável, ","")&amp;IF($D106="","tipo, ","")&amp;IF($I106="","canal, ","")&amp;IF($H106="","município, ","")&amp;IF(AND($U106="Sim",$E106=""),"empresa, ","")&amp;IF(AND($U106="Sim",$F106=""),"editor, ","")&amp;IF(AND($K106="Concluído",$N106=""),"data de conclusão, ","")&amp;IF(AND($K106="Concluído",$R106=""),"link, ","")&amp;IF(AND($K106="Concluído",$L106=""),"quem liberou, ",""))-2)))</f>
        <v/>
      </c>
      <c r="R106" s="38"/>
      <c r="S106" s="38"/>
      <c r="T106" s="38"/>
      <c r="U106" s="40" t="str">
        <f aca="false">IF($A106="","",IFERROR(INDEX(Listas!$E$5:$E$64,MATCH($D106,Listas!$C$5:$C$64,0)),"Não"))</f>
        <v/>
      </c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9" t="str">
        <f aca="false">IF(OR($A107="",$D107=""),"",$A107+IFERROR(INDEX(Listas!$D$5:$D$64,MATCH($D107,Listas!$C$5:$C$64,0)),3))</f>
        <v/>
      </c>
      <c r="N107" s="37"/>
      <c r="O107" s="40" t="str">
        <f aca="false">IF($A107="","",IF($K107="Concluído","Sim","Não"))</f>
        <v/>
      </c>
      <c r="P107" s="40" t="str">
        <f aca="true">IF($A107="","",IF($K107="Stand-by","Stand-by",IF($K107="Concluído","Concluída",IF(AND($M107&lt;&gt;"",$M107&lt;TODAY()),"Atrasada","Em dia"))))</f>
        <v/>
      </c>
      <c r="Q107" s="40" t="str">
        <f aca="false">IF($A107="","",IF(LEN(IF($J107="","título, ","")&amp;IF($C107="","responsável, ","")&amp;IF($D107="","tipo, ","")&amp;IF($I107="","canal, ","")&amp;IF($H107="","município, ","")&amp;IF(AND($U107="Sim",$E107=""),"empresa, ","")&amp;IF(AND($U107="Sim",$F107=""),"editor, ","")&amp;IF(AND($K107="Concluído",$N107=""),"data de conclusão, ","")&amp;IF(AND($K107="Concluído",$R107=""),"link, ","")&amp;IF(AND($K107="Concluído",$L107=""),"quem liberou, ",""))=0,"OK","Falta "&amp;LEFT(IF($J107="","título, ","")&amp;IF($C107="","responsável, ","")&amp;IF($D107="","tipo, ","")&amp;IF($I107="","canal, ","")&amp;IF($H107="","município, ","")&amp;IF(AND($U107="Sim",$E107=""),"empresa, ","")&amp;IF(AND($U107="Sim",$F107=""),"editor, ","")&amp;IF(AND($K107="Concluído",$N107=""),"data de conclusão, ","")&amp;IF(AND($K107="Concluído",$R107=""),"link, ","")&amp;IF(AND($K107="Concluído",$L107=""),"quem liberou, ",""),LEN(IF($J107="","título, ","")&amp;IF($C107="","responsável, ","")&amp;IF($D107="","tipo, ","")&amp;IF($I107="","canal, ","")&amp;IF($H107="","município, ","")&amp;IF(AND($U107="Sim",$E107=""),"empresa, ","")&amp;IF(AND($U107="Sim",$F107=""),"editor, ","")&amp;IF(AND($K107="Concluído",$N107=""),"data de conclusão, ","")&amp;IF(AND($K107="Concluído",$R107=""),"link, ","")&amp;IF(AND($K107="Concluído",$L107=""),"quem liberou, ",""))-2)))</f>
        <v/>
      </c>
      <c r="R107" s="38"/>
      <c r="S107" s="38"/>
      <c r="T107" s="38"/>
      <c r="U107" s="40" t="str">
        <f aca="false">IF($A107="","",IFERROR(INDEX(Listas!$E$5:$E$64,MATCH($D107,Listas!$C$5:$C$64,0)),"Não"))</f>
        <v/>
      </c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9" t="str">
        <f aca="false">IF(OR($A108="",$D108=""),"",$A108+IFERROR(INDEX(Listas!$D$5:$D$64,MATCH($D108,Listas!$C$5:$C$64,0)),3))</f>
        <v/>
      </c>
      <c r="N108" s="37"/>
      <c r="O108" s="40" t="str">
        <f aca="false">IF($A108="","",IF($K108="Concluído","Sim","Não"))</f>
        <v/>
      </c>
      <c r="P108" s="40" t="str">
        <f aca="true">IF($A108="","",IF($K108="Stand-by","Stand-by",IF($K108="Concluído","Concluída",IF(AND($M108&lt;&gt;"",$M108&lt;TODAY()),"Atrasada","Em dia"))))</f>
        <v/>
      </c>
      <c r="Q108" s="40" t="str">
        <f aca="false">IF($A108="","",IF(LEN(IF($J108="","título, ","")&amp;IF($C108="","responsável, ","")&amp;IF($D108="","tipo, ","")&amp;IF($I108="","canal, ","")&amp;IF($H108="","município, ","")&amp;IF(AND($U108="Sim",$E108=""),"empresa, ","")&amp;IF(AND($U108="Sim",$F108=""),"editor, ","")&amp;IF(AND($K108="Concluído",$N108=""),"data de conclusão, ","")&amp;IF(AND($K108="Concluído",$R108=""),"link, ","")&amp;IF(AND($K108="Concluído",$L108=""),"quem liberou, ",""))=0,"OK","Falta "&amp;LEFT(IF($J108="","título, ","")&amp;IF($C108="","responsável, ","")&amp;IF($D108="","tipo, ","")&amp;IF($I108="","canal, ","")&amp;IF($H108="","município, ","")&amp;IF(AND($U108="Sim",$E108=""),"empresa, ","")&amp;IF(AND($U108="Sim",$F108=""),"editor, ","")&amp;IF(AND($K108="Concluído",$N108=""),"data de conclusão, ","")&amp;IF(AND($K108="Concluído",$R108=""),"link, ","")&amp;IF(AND($K108="Concluído",$L108=""),"quem liberou, ",""),LEN(IF($J108="","título, ","")&amp;IF($C108="","responsável, ","")&amp;IF($D108="","tipo, ","")&amp;IF($I108="","canal, ","")&amp;IF($H108="","município, ","")&amp;IF(AND($U108="Sim",$E108=""),"empresa, ","")&amp;IF(AND($U108="Sim",$F108=""),"editor, ","")&amp;IF(AND($K108="Concluído",$N108=""),"data de conclusão, ","")&amp;IF(AND($K108="Concluído",$R108=""),"link, ","")&amp;IF(AND($K108="Concluído",$L108=""),"quem liberou, ",""))-2)))</f>
        <v/>
      </c>
      <c r="R108" s="38"/>
      <c r="S108" s="38"/>
      <c r="T108" s="38"/>
      <c r="U108" s="40" t="str">
        <f aca="false">IF($A108="","",IFERROR(INDEX(Listas!$E$5:$E$64,MATCH($D108,Listas!$C$5:$C$64,0)),"Não"))</f>
        <v/>
      </c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9" t="str">
        <f aca="false">IF(OR($A109="",$D109=""),"",$A109+IFERROR(INDEX(Listas!$D$5:$D$64,MATCH($D109,Listas!$C$5:$C$64,0)),3))</f>
        <v/>
      </c>
      <c r="N109" s="37"/>
      <c r="O109" s="40" t="str">
        <f aca="false">IF($A109="","",IF($K109="Concluído","Sim","Não"))</f>
        <v/>
      </c>
      <c r="P109" s="40" t="str">
        <f aca="true">IF($A109="","",IF($K109="Stand-by","Stand-by",IF($K109="Concluído","Concluída",IF(AND($M109&lt;&gt;"",$M109&lt;TODAY()),"Atrasada","Em dia"))))</f>
        <v/>
      </c>
      <c r="Q109" s="40" t="str">
        <f aca="false">IF($A109="","",IF(LEN(IF($J109="","título, ","")&amp;IF($C109="","responsável, ","")&amp;IF($D109="","tipo, ","")&amp;IF($I109="","canal, ","")&amp;IF($H109="","município, ","")&amp;IF(AND($U109="Sim",$E109=""),"empresa, ","")&amp;IF(AND($U109="Sim",$F109=""),"editor, ","")&amp;IF(AND($K109="Concluído",$N109=""),"data de conclusão, ","")&amp;IF(AND($K109="Concluído",$R109=""),"link, ","")&amp;IF(AND($K109="Concluído",$L109=""),"quem liberou, ",""))=0,"OK","Falta "&amp;LEFT(IF($J109="","título, ","")&amp;IF($C109="","responsável, ","")&amp;IF($D109="","tipo, ","")&amp;IF($I109="","canal, ","")&amp;IF($H109="","município, ","")&amp;IF(AND($U109="Sim",$E109=""),"empresa, ","")&amp;IF(AND($U109="Sim",$F109=""),"editor, ","")&amp;IF(AND($K109="Concluído",$N109=""),"data de conclusão, ","")&amp;IF(AND($K109="Concluído",$R109=""),"link, ","")&amp;IF(AND($K109="Concluído",$L109=""),"quem liberou, ",""),LEN(IF($J109="","título, ","")&amp;IF($C109="","responsável, ","")&amp;IF($D109="","tipo, ","")&amp;IF($I109="","canal, ","")&amp;IF($H109="","município, ","")&amp;IF(AND($U109="Sim",$E109=""),"empresa, ","")&amp;IF(AND($U109="Sim",$F109=""),"editor, ","")&amp;IF(AND($K109="Concluído",$N109=""),"data de conclusão, ","")&amp;IF(AND($K109="Concluído",$R109=""),"link, ","")&amp;IF(AND($K109="Concluído",$L109=""),"quem liberou, ",""))-2)))</f>
        <v/>
      </c>
      <c r="R109" s="38"/>
      <c r="S109" s="38"/>
      <c r="T109" s="38"/>
      <c r="U109" s="40" t="str">
        <f aca="false">IF($A109="","",IFERROR(INDEX(Listas!$E$5:$E$64,MATCH($D109,Listas!$C$5:$C$64,0)),"Não"))</f>
        <v/>
      </c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9" t="str">
        <f aca="false">IF(OR($A110="",$D110=""),"",$A110+IFERROR(INDEX(Listas!$D$5:$D$64,MATCH($D110,Listas!$C$5:$C$64,0)),3))</f>
        <v/>
      </c>
      <c r="N110" s="37"/>
      <c r="O110" s="40" t="str">
        <f aca="false">IF($A110="","",IF($K110="Concluído","Sim","Não"))</f>
        <v/>
      </c>
      <c r="P110" s="40" t="str">
        <f aca="true">IF($A110="","",IF($K110="Stand-by","Stand-by",IF($K110="Concluído","Concluída",IF(AND($M110&lt;&gt;"",$M110&lt;TODAY()),"Atrasada","Em dia"))))</f>
        <v/>
      </c>
      <c r="Q110" s="40" t="str">
        <f aca="false">IF($A110="","",IF(LEN(IF($J110="","título, ","")&amp;IF($C110="","responsável, ","")&amp;IF($D110="","tipo, ","")&amp;IF($I110="","canal, ","")&amp;IF($H110="","município, ","")&amp;IF(AND($U110="Sim",$E110=""),"empresa, ","")&amp;IF(AND($U110="Sim",$F110=""),"editor, ","")&amp;IF(AND($K110="Concluído",$N110=""),"data de conclusão, ","")&amp;IF(AND($K110="Concluído",$R110=""),"link, ","")&amp;IF(AND($K110="Concluído",$L110=""),"quem liberou, ",""))=0,"OK","Falta "&amp;LEFT(IF($J110="","título, ","")&amp;IF($C110="","responsável, ","")&amp;IF($D110="","tipo, ","")&amp;IF($I110="","canal, ","")&amp;IF($H110="","município, ","")&amp;IF(AND($U110="Sim",$E110=""),"empresa, ","")&amp;IF(AND($U110="Sim",$F110=""),"editor, ","")&amp;IF(AND($K110="Concluído",$N110=""),"data de conclusão, ","")&amp;IF(AND($K110="Concluído",$R110=""),"link, ","")&amp;IF(AND($K110="Concluído",$L110=""),"quem liberou, ",""),LEN(IF($J110="","título, ","")&amp;IF($C110="","responsável, ","")&amp;IF($D110="","tipo, ","")&amp;IF($I110="","canal, ","")&amp;IF($H110="","município, ","")&amp;IF(AND($U110="Sim",$E110=""),"empresa, ","")&amp;IF(AND($U110="Sim",$F110=""),"editor, ","")&amp;IF(AND($K110="Concluído",$N110=""),"data de conclusão, ","")&amp;IF(AND($K110="Concluído",$R110=""),"link, ","")&amp;IF(AND($K110="Concluído",$L110=""),"quem liberou, ",""))-2)))</f>
        <v/>
      </c>
      <c r="R110" s="38"/>
      <c r="S110" s="38"/>
      <c r="T110" s="38"/>
      <c r="U110" s="40" t="str">
        <f aca="false">IF($A110="","",IFERROR(INDEX(Listas!$E$5:$E$64,MATCH($D110,Listas!$C$5:$C$64,0)),"Não"))</f>
        <v/>
      </c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9" t="str">
        <f aca="false">IF(OR($A111="",$D111=""),"",$A111+IFERROR(INDEX(Listas!$D$5:$D$64,MATCH($D111,Listas!$C$5:$C$64,0)),3))</f>
        <v/>
      </c>
      <c r="N111" s="37"/>
      <c r="O111" s="40" t="str">
        <f aca="false">IF($A111="","",IF($K111="Concluído","Sim","Não"))</f>
        <v/>
      </c>
      <c r="P111" s="40" t="str">
        <f aca="true">IF($A111="","",IF($K111="Stand-by","Stand-by",IF($K111="Concluído","Concluída",IF(AND($M111&lt;&gt;"",$M111&lt;TODAY()),"Atrasada","Em dia"))))</f>
        <v/>
      </c>
      <c r="Q111" s="40" t="str">
        <f aca="false">IF($A111="","",IF(LEN(IF($J111="","título, ","")&amp;IF($C111="","responsável, ","")&amp;IF($D111="","tipo, ","")&amp;IF($I111="","canal, ","")&amp;IF($H111="","município, ","")&amp;IF(AND($U111="Sim",$E111=""),"empresa, ","")&amp;IF(AND($U111="Sim",$F111=""),"editor, ","")&amp;IF(AND($K111="Concluído",$N111=""),"data de conclusão, ","")&amp;IF(AND($K111="Concluído",$R111=""),"link, ","")&amp;IF(AND($K111="Concluído",$L111=""),"quem liberou, ",""))=0,"OK","Falta "&amp;LEFT(IF($J111="","título, ","")&amp;IF($C111="","responsável, ","")&amp;IF($D111="","tipo, ","")&amp;IF($I111="","canal, ","")&amp;IF($H111="","município, ","")&amp;IF(AND($U111="Sim",$E111=""),"empresa, ","")&amp;IF(AND($U111="Sim",$F111=""),"editor, ","")&amp;IF(AND($K111="Concluído",$N111=""),"data de conclusão, ","")&amp;IF(AND($K111="Concluído",$R111=""),"link, ","")&amp;IF(AND($K111="Concluído",$L111=""),"quem liberou, ",""),LEN(IF($J111="","título, ","")&amp;IF($C111="","responsável, ","")&amp;IF($D111="","tipo, ","")&amp;IF($I111="","canal, ","")&amp;IF($H111="","município, ","")&amp;IF(AND($U111="Sim",$E111=""),"empresa, ","")&amp;IF(AND($U111="Sim",$F111=""),"editor, ","")&amp;IF(AND($K111="Concluído",$N111=""),"data de conclusão, ","")&amp;IF(AND($K111="Concluído",$R111=""),"link, ","")&amp;IF(AND($K111="Concluído",$L111=""),"quem liberou, ",""))-2)))</f>
        <v/>
      </c>
      <c r="R111" s="38"/>
      <c r="S111" s="38"/>
      <c r="T111" s="38"/>
      <c r="U111" s="40" t="str">
        <f aca="false">IF($A111="","",IFERROR(INDEX(Listas!$E$5:$E$64,MATCH($D111,Listas!$C$5:$C$64,0)),"Não"))</f>
        <v/>
      </c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9" t="str">
        <f aca="false">IF(OR($A112="",$D112=""),"",$A112+IFERROR(INDEX(Listas!$D$5:$D$64,MATCH($D112,Listas!$C$5:$C$64,0)),3))</f>
        <v/>
      </c>
      <c r="N112" s="37"/>
      <c r="O112" s="40" t="str">
        <f aca="false">IF($A112="","",IF($K112="Concluído","Sim","Não"))</f>
        <v/>
      </c>
      <c r="P112" s="40" t="str">
        <f aca="true">IF($A112="","",IF($K112="Stand-by","Stand-by",IF($K112="Concluído","Concluída",IF(AND($M112&lt;&gt;"",$M112&lt;TODAY()),"Atrasada","Em dia"))))</f>
        <v/>
      </c>
      <c r="Q112" s="40" t="str">
        <f aca="false">IF($A112="","",IF(LEN(IF($J112="","título, ","")&amp;IF($C112="","responsável, ","")&amp;IF($D112="","tipo, ","")&amp;IF($I112="","canal, ","")&amp;IF($H112="","município, ","")&amp;IF(AND($U112="Sim",$E112=""),"empresa, ","")&amp;IF(AND($U112="Sim",$F112=""),"editor, ","")&amp;IF(AND($K112="Concluído",$N112=""),"data de conclusão, ","")&amp;IF(AND($K112="Concluído",$R112=""),"link, ","")&amp;IF(AND($K112="Concluído",$L112=""),"quem liberou, ",""))=0,"OK","Falta "&amp;LEFT(IF($J112="","título, ","")&amp;IF($C112="","responsável, ","")&amp;IF($D112="","tipo, ","")&amp;IF($I112="","canal, ","")&amp;IF($H112="","município, ","")&amp;IF(AND($U112="Sim",$E112=""),"empresa, ","")&amp;IF(AND($U112="Sim",$F112=""),"editor, ","")&amp;IF(AND($K112="Concluído",$N112=""),"data de conclusão, ","")&amp;IF(AND($K112="Concluído",$R112=""),"link, ","")&amp;IF(AND($K112="Concluído",$L112=""),"quem liberou, ",""),LEN(IF($J112="","título, ","")&amp;IF($C112="","responsável, ","")&amp;IF($D112="","tipo, ","")&amp;IF($I112="","canal, ","")&amp;IF($H112="","município, ","")&amp;IF(AND($U112="Sim",$E112=""),"empresa, ","")&amp;IF(AND($U112="Sim",$F112=""),"editor, ","")&amp;IF(AND($K112="Concluído",$N112=""),"data de conclusão, ","")&amp;IF(AND($K112="Concluído",$R112=""),"link, ","")&amp;IF(AND($K112="Concluído",$L112=""),"quem liberou, ",""))-2)))</f>
        <v/>
      </c>
      <c r="R112" s="38"/>
      <c r="S112" s="38"/>
      <c r="T112" s="38"/>
      <c r="U112" s="40" t="str">
        <f aca="false">IF($A112="","",IFERROR(INDEX(Listas!$E$5:$E$64,MATCH($D112,Listas!$C$5:$C$64,0)),"Não"))</f>
        <v/>
      </c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9" t="str">
        <f aca="false">IF(OR($A113="",$D113=""),"",$A113+IFERROR(INDEX(Listas!$D$5:$D$64,MATCH($D113,Listas!$C$5:$C$64,0)),3))</f>
        <v/>
      </c>
      <c r="N113" s="37"/>
      <c r="O113" s="40" t="str">
        <f aca="false">IF($A113="","",IF($K113="Concluído","Sim","Não"))</f>
        <v/>
      </c>
      <c r="P113" s="40" t="str">
        <f aca="true">IF($A113="","",IF($K113="Stand-by","Stand-by",IF($K113="Concluído","Concluída",IF(AND($M113&lt;&gt;"",$M113&lt;TODAY()),"Atrasada","Em dia"))))</f>
        <v/>
      </c>
      <c r="Q113" s="40" t="str">
        <f aca="false">IF($A113="","",IF(LEN(IF($J113="","título, ","")&amp;IF($C113="","responsável, ","")&amp;IF($D113="","tipo, ","")&amp;IF($I113="","canal, ","")&amp;IF($H113="","município, ","")&amp;IF(AND($U113="Sim",$E113=""),"empresa, ","")&amp;IF(AND($U113="Sim",$F113=""),"editor, ","")&amp;IF(AND($K113="Concluído",$N113=""),"data de conclusão, ","")&amp;IF(AND($K113="Concluído",$R113=""),"link, ","")&amp;IF(AND($K113="Concluído",$L113=""),"quem liberou, ",""))=0,"OK","Falta "&amp;LEFT(IF($J113="","título, ","")&amp;IF($C113="","responsável, ","")&amp;IF($D113="","tipo, ","")&amp;IF($I113="","canal, ","")&amp;IF($H113="","município, ","")&amp;IF(AND($U113="Sim",$E113=""),"empresa, ","")&amp;IF(AND($U113="Sim",$F113=""),"editor, ","")&amp;IF(AND($K113="Concluído",$N113=""),"data de conclusão, ","")&amp;IF(AND($K113="Concluído",$R113=""),"link, ","")&amp;IF(AND($K113="Concluído",$L113=""),"quem liberou, ",""),LEN(IF($J113="","título, ","")&amp;IF($C113="","responsável, ","")&amp;IF($D113="","tipo, ","")&amp;IF($I113="","canal, ","")&amp;IF($H113="","município, ","")&amp;IF(AND($U113="Sim",$E113=""),"empresa, ","")&amp;IF(AND($U113="Sim",$F113=""),"editor, ","")&amp;IF(AND($K113="Concluído",$N113=""),"data de conclusão, ","")&amp;IF(AND($K113="Concluído",$R113=""),"link, ","")&amp;IF(AND($K113="Concluído",$L113=""),"quem liberou, ",""))-2)))</f>
        <v/>
      </c>
      <c r="R113" s="38"/>
      <c r="S113" s="38"/>
      <c r="T113" s="38"/>
      <c r="U113" s="40" t="str">
        <f aca="false">IF($A113="","",IFERROR(INDEX(Listas!$E$5:$E$64,MATCH($D113,Listas!$C$5:$C$64,0)),"Não"))</f>
        <v/>
      </c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9" t="str">
        <f aca="false">IF(OR($A114="",$D114=""),"",$A114+IFERROR(INDEX(Listas!$D$5:$D$64,MATCH($D114,Listas!$C$5:$C$64,0)),3))</f>
        <v/>
      </c>
      <c r="N114" s="37"/>
      <c r="O114" s="40" t="str">
        <f aca="false">IF($A114="","",IF($K114="Concluído","Sim","Não"))</f>
        <v/>
      </c>
      <c r="P114" s="40" t="str">
        <f aca="true">IF($A114="","",IF($K114="Stand-by","Stand-by",IF($K114="Concluído","Concluída",IF(AND($M114&lt;&gt;"",$M114&lt;TODAY()),"Atrasada","Em dia"))))</f>
        <v/>
      </c>
      <c r="Q114" s="40" t="str">
        <f aca="false">IF($A114="","",IF(LEN(IF($J114="","título, ","")&amp;IF($C114="","responsável, ","")&amp;IF($D114="","tipo, ","")&amp;IF($I114="","canal, ","")&amp;IF($H114="","município, ","")&amp;IF(AND($U114="Sim",$E114=""),"empresa, ","")&amp;IF(AND($U114="Sim",$F114=""),"editor, ","")&amp;IF(AND($K114="Concluído",$N114=""),"data de conclusão, ","")&amp;IF(AND($K114="Concluído",$R114=""),"link, ","")&amp;IF(AND($K114="Concluído",$L114=""),"quem liberou, ",""))=0,"OK","Falta "&amp;LEFT(IF($J114="","título, ","")&amp;IF($C114="","responsável, ","")&amp;IF($D114="","tipo, ","")&amp;IF($I114="","canal, ","")&amp;IF($H114="","município, ","")&amp;IF(AND($U114="Sim",$E114=""),"empresa, ","")&amp;IF(AND($U114="Sim",$F114=""),"editor, ","")&amp;IF(AND($K114="Concluído",$N114=""),"data de conclusão, ","")&amp;IF(AND($K114="Concluído",$R114=""),"link, ","")&amp;IF(AND($K114="Concluído",$L114=""),"quem liberou, ",""),LEN(IF($J114="","título, ","")&amp;IF($C114="","responsável, ","")&amp;IF($D114="","tipo, ","")&amp;IF($I114="","canal, ","")&amp;IF($H114="","município, ","")&amp;IF(AND($U114="Sim",$E114=""),"empresa, ","")&amp;IF(AND($U114="Sim",$F114=""),"editor, ","")&amp;IF(AND($K114="Concluído",$N114=""),"data de conclusão, ","")&amp;IF(AND($K114="Concluído",$R114=""),"link, ","")&amp;IF(AND($K114="Concluído",$L114=""),"quem liberou, ",""))-2)))</f>
        <v/>
      </c>
      <c r="R114" s="38"/>
      <c r="S114" s="38"/>
      <c r="T114" s="38"/>
      <c r="U114" s="40" t="str">
        <f aca="false">IF($A114="","",IFERROR(INDEX(Listas!$E$5:$E$64,MATCH($D114,Listas!$C$5:$C$64,0)),"Não"))</f>
        <v/>
      </c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9" t="str">
        <f aca="false">IF(OR($A115="",$D115=""),"",$A115+IFERROR(INDEX(Listas!$D$5:$D$64,MATCH($D115,Listas!$C$5:$C$64,0)),3))</f>
        <v/>
      </c>
      <c r="N115" s="37"/>
      <c r="O115" s="40" t="str">
        <f aca="false">IF($A115="","",IF($K115="Concluído","Sim","Não"))</f>
        <v/>
      </c>
      <c r="P115" s="40" t="str">
        <f aca="true">IF($A115="","",IF($K115="Stand-by","Stand-by",IF($K115="Concluído","Concluída",IF(AND($M115&lt;&gt;"",$M115&lt;TODAY()),"Atrasada","Em dia"))))</f>
        <v/>
      </c>
      <c r="Q115" s="40" t="str">
        <f aca="false">IF($A115="","",IF(LEN(IF($J115="","título, ","")&amp;IF($C115="","responsável, ","")&amp;IF($D115="","tipo, ","")&amp;IF($I115="","canal, ","")&amp;IF($H115="","município, ","")&amp;IF(AND($U115="Sim",$E115=""),"empresa, ","")&amp;IF(AND($U115="Sim",$F115=""),"editor, ","")&amp;IF(AND($K115="Concluído",$N115=""),"data de conclusão, ","")&amp;IF(AND($K115="Concluído",$R115=""),"link, ","")&amp;IF(AND($K115="Concluído",$L115=""),"quem liberou, ",""))=0,"OK","Falta "&amp;LEFT(IF($J115="","título, ","")&amp;IF($C115="","responsável, ","")&amp;IF($D115="","tipo, ","")&amp;IF($I115="","canal, ","")&amp;IF($H115="","município, ","")&amp;IF(AND($U115="Sim",$E115=""),"empresa, ","")&amp;IF(AND($U115="Sim",$F115=""),"editor, ","")&amp;IF(AND($K115="Concluído",$N115=""),"data de conclusão, ","")&amp;IF(AND($K115="Concluído",$R115=""),"link, ","")&amp;IF(AND($K115="Concluído",$L115=""),"quem liberou, ",""),LEN(IF($J115="","título, ","")&amp;IF($C115="","responsável, ","")&amp;IF($D115="","tipo, ","")&amp;IF($I115="","canal, ","")&amp;IF($H115="","município, ","")&amp;IF(AND($U115="Sim",$E115=""),"empresa, ","")&amp;IF(AND($U115="Sim",$F115=""),"editor, ","")&amp;IF(AND($K115="Concluído",$N115=""),"data de conclusão, ","")&amp;IF(AND($K115="Concluído",$R115=""),"link, ","")&amp;IF(AND($K115="Concluído",$L115=""),"quem liberou, ",""))-2)))</f>
        <v/>
      </c>
      <c r="R115" s="38"/>
      <c r="S115" s="38"/>
      <c r="T115" s="38"/>
      <c r="U115" s="40" t="str">
        <f aca="false">IF($A115="","",IFERROR(INDEX(Listas!$E$5:$E$64,MATCH($D115,Listas!$C$5:$C$64,0)),"Não"))</f>
        <v/>
      </c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9" t="str">
        <f aca="false">IF(OR($A116="",$D116=""),"",$A116+IFERROR(INDEX(Listas!$D$5:$D$64,MATCH($D116,Listas!$C$5:$C$64,0)),3))</f>
        <v/>
      </c>
      <c r="N116" s="37"/>
      <c r="O116" s="40" t="str">
        <f aca="false">IF($A116="","",IF($K116="Concluído","Sim","Não"))</f>
        <v/>
      </c>
      <c r="P116" s="40" t="str">
        <f aca="true">IF($A116="","",IF($K116="Stand-by","Stand-by",IF($K116="Concluído","Concluída",IF(AND($M116&lt;&gt;"",$M116&lt;TODAY()),"Atrasada","Em dia"))))</f>
        <v/>
      </c>
      <c r="Q116" s="40" t="str">
        <f aca="false">IF($A116="","",IF(LEN(IF($J116="","título, ","")&amp;IF($C116="","responsável, ","")&amp;IF($D116="","tipo, ","")&amp;IF($I116="","canal, ","")&amp;IF($H116="","município, ","")&amp;IF(AND($U116="Sim",$E116=""),"empresa, ","")&amp;IF(AND($U116="Sim",$F116=""),"editor, ","")&amp;IF(AND($K116="Concluído",$N116=""),"data de conclusão, ","")&amp;IF(AND($K116="Concluído",$R116=""),"link, ","")&amp;IF(AND($K116="Concluído",$L116=""),"quem liberou, ",""))=0,"OK","Falta "&amp;LEFT(IF($J116="","título, ","")&amp;IF($C116="","responsável, ","")&amp;IF($D116="","tipo, ","")&amp;IF($I116="","canal, ","")&amp;IF($H116="","município, ","")&amp;IF(AND($U116="Sim",$E116=""),"empresa, ","")&amp;IF(AND($U116="Sim",$F116=""),"editor, ","")&amp;IF(AND($K116="Concluído",$N116=""),"data de conclusão, ","")&amp;IF(AND($K116="Concluído",$R116=""),"link, ","")&amp;IF(AND($K116="Concluído",$L116=""),"quem liberou, ",""),LEN(IF($J116="","título, ","")&amp;IF($C116="","responsável, ","")&amp;IF($D116="","tipo, ","")&amp;IF($I116="","canal, ","")&amp;IF($H116="","município, ","")&amp;IF(AND($U116="Sim",$E116=""),"empresa, ","")&amp;IF(AND($U116="Sim",$F116=""),"editor, ","")&amp;IF(AND($K116="Concluído",$N116=""),"data de conclusão, ","")&amp;IF(AND($K116="Concluído",$R116=""),"link, ","")&amp;IF(AND($K116="Concluído",$L116=""),"quem liberou, ",""))-2)))</f>
        <v/>
      </c>
      <c r="R116" s="38"/>
      <c r="S116" s="38"/>
      <c r="T116" s="38"/>
      <c r="U116" s="40" t="str">
        <f aca="false">IF($A116="","",IFERROR(INDEX(Listas!$E$5:$E$64,MATCH($D116,Listas!$C$5:$C$64,0)),"Não"))</f>
        <v/>
      </c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9" t="str">
        <f aca="false">IF(OR($A117="",$D117=""),"",$A117+IFERROR(INDEX(Listas!$D$5:$D$64,MATCH($D117,Listas!$C$5:$C$64,0)),3))</f>
        <v/>
      </c>
      <c r="N117" s="37"/>
      <c r="O117" s="40" t="str">
        <f aca="false">IF($A117="","",IF($K117="Concluído","Sim","Não"))</f>
        <v/>
      </c>
      <c r="P117" s="40" t="str">
        <f aca="true">IF($A117="","",IF($K117="Stand-by","Stand-by",IF($K117="Concluído","Concluída",IF(AND($M117&lt;&gt;"",$M117&lt;TODAY()),"Atrasada","Em dia"))))</f>
        <v/>
      </c>
      <c r="Q117" s="40" t="str">
        <f aca="false">IF($A117="","",IF(LEN(IF($J117="","título, ","")&amp;IF($C117="","responsável, ","")&amp;IF($D117="","tipo, ","")&amp;IF($I117="","canal, ","")&amp;IF($H117="","município, ","")&amp;IF(AND($U117="Sim",$E117=""),"empresa, ","")&amp;IF(AND($U117="Sim",$F117=""),"editor, ","")&amp;IF(AND($K117="Concluído",$N117=""),"data de conclusão, ","")&amp;IF(AND($K117="Concluído",$R117=""),"link, ","")&amp;IF(AND($K117="Concluído",$L117=""),"quem liberou, ",""))=0,"OK","Falta "&amp;LEFT(IF($J117="","título, ","")&amp;IF($C117="","responsável, ","")&amp;IF($D117="","tipo, ","")&amp;IF($I117="","canal, ","")&amp;IF($H117="","município, ","")&amp;IF(AND($U117="Sim",$E117=""),"empresa, ","")&amp;IF(AND($U117="Sim",$F117=""),"editor, ","")&amp;IF(AND($K117="Concluído",$N117=""),"data de conclusão, ","")&amp;IF(AND($K117="Concluído",$R117=""),"link, ","")&amp;IF(AND($K117="Concluído",$L117=""),"quem liberou, ",""),LEN(IF($J117="","título, ","")&amp;IF($C117="","responsável, ","")&amp;IF($D117="","tipo, ","")&amp;IF($I117="","canal, ","")&amp;IF($H117="","município, ","")&amp;IF(AND($U117="Sim",$E117=""),"empresa, ","")&amp;IF(AND($U117="Sim",$F117=""),"editor, ","")&amp;IF(AND($K117="Concluído",$N117=""),"data de conclusão, ","")&amp;IF(AND($K117="Concluído",$R117=""),"link, ","")&amp;IF(AND($K117="Concluído",$L117=""),"quem liberou, ",""))-2)))</f>
        <v/>
      </c>
      <c r="R117" s="38"/>
      <c r="S117" s="38"/>
      <c r="T117" s="38"/>
      <c r="U117" s="40" t="str">
        <f aca="false">IF($A117="","",IFERROR(INDEX(Listas!$E$5:$E$64,MATCH($D117,Listas!$C$5:$C$64,0)),"Não"))</f>
        <v/>
      </c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9" t="str">
        <f aca="false">IF(OR($A118="",$D118=""),"",$A118+IFERROR(INDEX(Listas!$D$5:$D$64,MATCH($D118,Listas!$C$5:$C$64,0)),3))</f>
        <v/>
      </c>
      <c r="N118" s="37"/>
      <c r="O118" s="40" t="str">
        <f aca="false">IF($A118="","",IF($K118="Concluído","Sim","Não"))</f>
        <v/>
      </c>
      <c r="P118" s="40" t="str">
        <f aca="true">IF($A118="","",IF($K118="Stand-by","Stand-by",IF($K118="Concluído","Concluída",IF(AND($M118&lt;&gt;"",$M118&lt;TODAY()),"Atrasada","Em dia"))))</f>
        <v/>
      </c>
      <c r="Q118" s="40" t="str">
        <f aca="false">IF($A118="","",IF(LEN(IF($J118="","título, ","")&amp;IF($C118="","responsável, ","")&amp;IF($D118="","tipo, ","")&amp;IF($I118="","canal, ","")&amp;IF($H118="","município, ","")&amp;IF(AND($U118="Sim",$E118=""),"empresa, ","")&amp;IF(AND($U118="Sim",$F118=""),"editor, ","")&amp;IF(AND($K118="Concluído",$N118=""),"data de conclusão, ","")&amp;IF(AND($K118="Concluído",$R118=""),"link, ","")&amp;IF(AND($K118="Concluído",$L118=""),"quem liberou, ",""))=0,"OK","Falta "&amp;LEFT(IF($J118="","título, ","")&amp;IF($C118="","responsável, ","")&amp;IF($D118="","tipo, ","")&amp;IF($I118="","canal, ","")&amp;IF($H118="","município, ","")&amp;IF(AND($U118="Sim",$E118=""),"empresa, ","")&amp;IF(AND($U118="Sim",$F118=""),"editor, ","")&amp;IF(AND($K118="Concluído",$N118=""),"data de conclusão, ","")&amp;IF(AND($K118="Concluído",$R118=""),"link, ","")&amp;IF(AND($K118="Concluído",$L118=""),"quem liberou, ",""),LEN(IF($J118="","título, ","")&amp;IF($C118="","responsável, ","")&amp;IF($D118="","tipo, ","")&amp;IF($I118="","canal, ","")&amp;IF($H118="","município, ","")&amp;IF(AND($U118="Sim",$E118=""),"empresa, ","")&amp;IF(AND($U118="Sim",$F118=""),"editor, ","")&amp;IF(AND($K118="Concluído",$N118=""),"data de conclusão, ","")&amp;IF(AND($K118="Concluído",$R118=""),"link, ","")&amp;IF(AND($K118="Concluído",$L118=""),"quem liberou, ",""))-2)))</f>
        <v/>
      </c>
      <c r="R118" s="38"/>
      <c r="S118" s="38"/>
      <c r="T118" s="38"/>
      <c r="U118" s="40" t="str">
        <f aca="false">IF($A118="","",IFERROR(INDEX(Listas!$E$5:$E$64,MATCH($D118,Listas!$C$5:$C$64,0)),"Não"))</f>
        <v/>
      </c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9" t="str">
        <f aca="false">IF(OR($A119="",$D119=""),"",$A119+IFERROR(INDEX(Listas!$D$5:$D$64,MATCH($D119,Listas!$C$5:$C$64,0)),3))</f>
        <v/>
      </c>
      <c r="N119" s="37"/>
      <c r="O119" s="40" t="str">
        <f aca="false">IF($A119="","",IF($K119="Concluído","Sim","Não"))</f>
        <v/>
      </c>
      <c r="P119" s="40" t="str">
        <f aca="true">IF($A119="","",IF($K119="Stand-by","Stand-by",IF($K119="Concluído","Concluída",IF(AND($M119&lt;&gt;"",$M119&lt;TODAY()),"Atrasada","Em dia"))))</f>
        <v/>
      </c>
      <c r="Q119" s="40" t="str">
        <f aca="false">IF($A119="","",IF(LEN(IF($J119="","título, ","")&amp;IF($C119="","responsável, ","")&amp;IF($D119="","tipo, ","")&amp;IF($I119="","canal, ","")&amp;IF($H119="","município, ","")&amp;IF(AND($U119="Sim",$E119=""),"empresa, ","")&amp;IF(AND($U119="Sim",$F119=""),"editor, ","")&amp;IF(AND($K119="Concluído",$N119=""),"data de conclusão, ","")&amp;IF(AND($K119="Concluído",$R119=""),"link, ","")&amp;IF(AND($K119="Concluído",$L119=""),"quem liberou, ",""))=0,"OK","Falta "&amp;LEFT(IF($J119="","título, ","")&amp;IF($C119="","responsável, ","")&amp;IF($D119="","tipo, ","")&amp;IF($I119="","canal, ","")&amp;IF($H119="","município, ","")&amp;IF(AND($U119="Sim",$E119=""),"empresa, ","")&amp;IF(AND($U119="Sim",$F119=""),"editor, ","")&amp;IF(AND($K119="Concluído",$N119=""),"data de conclusão, ","")&amp;IF(AND($K119="Concluído",$R119=""),"link, ","")&amp;IF(AND($K119="Concluído",$L119=""),"quem liberou, ",""),LEN(IF($J119="","título, ","")&amp;IF($C119="","responsável, ","")&amp;IF($D119="","tipo, ","")&amp;IF($I119="","canal, ","")&amp;IF($H119="","município, ","")&amp;IF(AND($U119="Sim",$E119=""),"empresa, ","")&amp;IF(AND($U119="Sim",$F119=""),"editor, ","")&amp;IF(AND($K119="Concluído",$N119=""),"data de conclusão, ","")&amp;IF(AND($K119="Concluído",$R119=""),"link, ","")&amp;IF(AND($K119="Concluído",$L119=""),"quem liberou, ",""))-2)))</f>
        <v/>
      </c>
      <c r="R119" s="38"/>
      <c r="S119" s="38"/>
      <c r="T119" s="38"/>
      <c r="U119" s="40" t="str">
        <f aca="false">IF($A119="","",IFERROR(INDEX(Listas!$E$5:$E$64,MATCH($D119,Listas!$C$5:$C$64,0)),"Não"))</f>
        <v/>
      </c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9" t="str">
        <f aca="false">IF(OR($A120="",$D120=""),"",$A120+IFERROR(INDEX(Listas!$D$5:$D$64,MATCH($D120,Listas!$C$5:$C$64,0)),3))</f>
        <v/>
      </c>
      <c r="N120" s="37"/>
      <c r="O120" s="40" t="str">
        <f aca="false">IF($A120="","",IF($K120="Concluído","Sim","Não"))</f>
        <v/>
      </c>
      <c r="P120" s="40" t="str">
        <f aca="true">IF($A120="","",IF($K120="Stand-by","Stand-by",IF($K120="Concluído","Concluída",IF(AND($M120&lt;&gt;"",$M120&lt;TODAY()),"Atrasada","Em dia"))))</f>
        <v/>
      </c>
      <c r="Q120" s="40" t="str">
        <f aca="false">IF($A120="","",IF(LEN(IF($J120="","título, ","")&amp;IF($C120="","responsável, ","")&amp;IF($D120="","tipo, ","")&amp;IF($I120="","canal, ","")&amp;IF($H120="","município, ","")&amp;IF(AND($U120="Sim",$E120=""),"empresa, ","")&amp;IF(AND($U120="Sim",$F120=""),"editor, ","")&amp;IF(AND($K120="Concluído",$N120=""),"data de conclusão, ","")&amp;IF(AND($K120="Concluído",$R120=""),"link, ","")&amp;IF(AND($K120="Concluído",$L120=""),"quem liberou, ",""))=0,"OK","Falta "&amp;LEFT(IF($J120="","título, ","")&amp;IF($C120="","responsável, ","")&amp;IF($D120="","tipo, ","")&amp;IF($I120="","canal, ","")&amp;IF($H120="","município, ","")&amp;IF(AND($U120="Sim",$E120=""),"empresa, ","")&amp;IF(AND($U120="Sim",$F120=""),"editor, ","")&amp;IF(AND($K120="Concluído",$N120=""),"data de conclusão, ","")&amp;IF(AND($K120="Concluído",$R120=""),"link, ","")&amp;IF(AND($K120="Concluído",$L120=""),"quem liberou, ",""),LEN(IF($J120="","título, ","")&amp;IF($C120="","responsável, ","")&amp;IF($D120="","tipo, ","")&amp;IF($I120="","canal, ","")&amp;IF($H120="","município, ","")&amp;IF(AND($U120="Sim",$E120=""),"empresa, ","")&amp;IF(AND($U120="Sim",$F120=""),"editor, ","")&amp;IF(AND($K120="Concluído",$N120=""),"data de conclusão, ","")&amp;IF(AND($K120="Concluído",$R120=""),"link, ","")&amp;IF(AND($K120="Concluído",$L120=""),"quem liberou, ",""))-2)))</f>
        <v/>
      </c>
      <c r="R120" s="38"/>
      <c r="S120" s="38"/>
      <c r="T120" s="38"/>
      <c r="U120" s="40" t="str">
        <f aca="false">IF($A120="","",IFERROR(INDEX(Listas!$E$5:$E$64,MATCH($D120,Listas!$C$5:$C$64,0)),"Não"))</f>
        <v/>
      </c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9" t="str">
        <f aca="false">IF(OR($A121="",$D121=""),"",$A121+IFERROR(INDEX(Listas!$D$5:$D$64,MATCH($D121,Listas!$C$5:$C$64,0)),3))</f>
        <v/>
      </c>
      <c r="N121" s="37"/>
      <c r="O121" s="40" t="str">
        <f aca="false">IF($A121="","",IF($K121="Concluído","Sim","Não"))</f>
        <v/>
      </c>
      <c r="P121" s="40" t="str">
        <f aca="true">IF($A121="","",IF($K121="Stand-by","Stand-by",IF($K121="Concluído","Concluída",IF(AND($M121&lt;&gt;"",$M121&lt;TODAY()),"Atrasada","Em dia"))))</f>
        <v/>
      </c>
      <c r="Q121" s="40" t="str">
        <f aca="false">IF($A121="","",IF(LEN(IF($J121="","título, ","")&amp;IF($C121="","responsável, ","")&amp;IF($D121="","tipo, ","")&amp;IF($I121="","canal, ","")&amp;IF($H121="","município, ","")&amp;IF(AND($U121="Sim",$E121=""),"empresa, ","")&amp;IF(AND($U121="Sim",$F121=""),"editor, ","")&amp;IF(AND($K121="Concluído",$N121=""),"data de conclusão, ","")&amp;IF(AND($K121="Concluído",$R121=""),"link, ","")&amp;IF(AND($K121="Concluído",$L121=""),"quem liberou, ",""))=0,"OK","Falta "&amp;LEFT(IF($J121="","título, ","")&amp;IF($C121="","responsável, ","")&amp;IF($D121="","tipo, ","")&amp;IF($I121="","canal, ","")&amp;IF($H121="","município, ","")&amp;IF(AND($U121="Sim",$E121=""),"empresa, ","")&amp;IF(AND($U121="Sim",$F121=""),"editor, ","")&amp;IF(AND($K121="Concluído",$N121=""),"data de conclusão, ","")&amp;IF(AND($K121="Concluído",$R121=""),"link, ","")&amp;IF(AND($K121="Concluído",$L121=""),"quem liberou, ",""),LEN(IF($J121="","título, ","")&amp;IF($C121="","responsável, ","")&amp;IF($D121="","tipo, ","")&amp;IF($I121="","canal, ","")&amp;IF($H121="","município, ","")&amp;IF(AND($U121="Sim",$E121=""),"empresa, ","")&amp;IF(AND($U121="Sim",$F121=""),"editor, ","")&amp;IF(AND($K121="Concluído",$N121=""),"data de conclusão, ","")&amp;IF(AND($K121="Concluído",$R121=""),"link, ","")&amp;IF(AND($K121="Concluído",$L121=""),"quem liberou, ",""))-2)))</f>
        <v/>
      </c>
      <c r="R121" s="38"/>
      <c r="S121" s="38"/>
      <c r="T121" s="38"/>
      <c r="U121" s="40" t="str">
        <f aca="false">IF($A121="","",IFERROR(INDEX(Listas!$E$5:$E$64,MATCH($D121,Listas!$C$5:$C$64,0)),"Não"))</f>
        <v/>
      </c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9" t="str">
        <f aca="false">IF(OR($A122="",$D122=""),"",$A122+IFERROR(INDEX(Listas!$D$5:$D$64,MATCH($D122,Listas!$C$5:$C$64,0)),3))</f>
        <v/>
      </c>
      <c r="N122" s="37"/>
      <c r="O122" s="40" t="str">
        <f aca="false">IF($A122="","",IF($K122="Concluído","Sim","Não"))</f>
        <v/>
      </c>
      <c r="P122" s="40" t="str">
        <f aca="true">IF($A122="","",IF($K122="Stand-by","Stand-by",IF($K122="Concluído","Concluída",IF(AND($M122&lt;&gt;"",$M122&lt;TODAY()),"Atrasada","Em dia"))))</f>
        <v/>
      </c>
      <c r="Q122" s="40" t="str">
        <f aca="false">IF($A122="","",IF(LEN(IF($J122="","título, ","")&amp;IF($C122="","responsável, ","")&amp;IF($D122="","tipo, ","")&amp;IF($I122="","canal, ","")&amp;IF($H122="","município, ","")&amp;IF(AND($U122="Sim",$E122=""),"empresa, ","")&amp;IF(AND($U122="Sim",$F122=""),"editor, ","")&amp;IF(AND($K122="Concluído",$N122=""),"data de conclusão, ","")&amp;IF(AND($K122="Concluído",$R122=""),"link, ","")&amp;IF(AND($K122="Concluído",$L122=""),"quem liberou, ",""))=0,"OK","Falta "&amp;LEFT(IF($J122="","título, ","")&amp;IF($C122="","responsável, ","")&amp;IF($D122="","tipo, ","")&amp;IF($I122="","canal, ","")&amp;IF($H122="","município, ","")&amp;IF(AND($U122="Sim",$E122=""),"empresa, ","")&amp;IF(AND($U122="Sim",$F122=""),"editor, ","")&amp;IF(AND($K122="Concluído",$N122=""),"data de conclusão, ","")&amp;IF(AND($K122="Concluído",$R122=""),"link, ","")&amp;IF(AND($K122="Concluído",$L122=""),"quem liberou, ",""),LEN(IF($J122="","título, ","")&amp;IF($C122="","responsável, ","")&amp;IF($D122="","tipo, ","")&amp;IF($I122="","canal, ","")&amp;IF($H122="","município, ","")&amp;IF(AND($U122="Sim",$E122=""),"empresa, ","")&amp;IF(AND($U122="Sim",$F122=""),"editor, ","")&amp;IF(AND($K122="Concluído",$N122=""),"data de conclusão, ","")&amp;IF(AND($K122="Concluído",$R122=""),"link, ","")&amp;IF(AND($K122="Concluído",$L122=""),"quem liberou, ",""))-2)))</f>
        <v/>
      </c>
      <c r="R122" s="38"/>
      <c r="S122" s="38"/>
      <c r="T122" s="38"/>
      <c r="U122" s="40" t="str">
        <f aca="false">IF($A122="","",IFERROR(INDEX(Listas!$E$5:$E$64,MATCH($D122,Listas!$C$5:$C$64,0)),"Não"))</f>
        <v/>
      </c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9" t="str">
        <f aca="false">IF(OR($A123="",$D123=""),"",$A123+IFERROR(INDEX(Listas!$D$5:$D$64,MATCH($D123,Listas!$C$5:$C$64,0)),3))</f>
        <v/>
      </c>
      <c r="N123" s="37"/>
      <c r="O123" s="40" t="str">
        <f aca="false">IF($A123="","",IF($K123="Concluído","Sim","Não"))</f>
        <v/>
      </c>
      <c r="P123" s="40" t="str">
        <f aca="true">IF($A123="","",IF($K123="Stand-by","Stand-by",IF($K123="Concluído","Concluída",IF(AND($M123&lt;&gt;"",$M123&lt;TODAY()),"Atrasada","Em dia"))))</f>
        <v/>
      </c>
      <c r="Q123" s="40" t="str">
        <f aca="false">IF($A123="","",IF(LEN(IF($J123="","título, ","")&amp;IF($C123="","responsável, ","")&amp;IF($D123="","tipo, ","")&amp;IF($I123="","canal, ","")&amp;IF($H123="","município, ","")&amp;IF(AND($U123="Sim",$E123=""),"empresa, ","")&amp;IF(AND($U123="Sim",$F123=""),"editor, ","")&amp;IF(AND($K123="Concluído",$N123=""),"data de conclusão, ","")&amp;IF(AND($K123="Concluído",$R123=""),"link, ","")&amp;IF(AND($K123="Concluído",$L123=""),"quem liberou, ",""))=0,"OK","Falta "&amp;LEFT(IF($J123="","título, ","")&amp;IF($C123="","responsável, ","")&amp;IF($D123="","tipo, ","")&amp;IF($I123="","canal, ","")&amp;IF($H123="","município, ","")&amp;IF(AND($U123="Sim",$E123=""),"empresa, ","")&amp;IF(AND($U123="Sim",$F123=""),"editor, ","")&amp;IF(AND($K123="Concluído",$N123=""),"data de conclusão, ","")&amp;IF(AND($K123="Concluído",$R123=""),"link, ","")&amp;IF(AND($K123="Concluído",$L123=""),"quem liberou, ",""),LEN(IF($J123="","título, ","")&amp;IF($C123="","responsável, ","")&amp;IF($D123="","tipo, ","")&amp;IF($I123="","canal, ","")&amp;IF($H123="","município, ","")&amp;IF(AND($U123="Sim",$E123=""),"empresa, ","")&amp;IF(AND($U123="Sim",$F123=""),"editor, ","")&amp;IF(AND($K123="Concluído",$N123=""),"data de conclusão, ","")&amp;IF(AND($K123="Concluído",$R123=""),"link, ","")&amp;IF(AND($K123="Concluído",$L123=""),"quem liberou, ",""))-2)))</f>
        <v/>
      </c>
      <c r="R123" s="38"/>
      <c r="S123" s="38"/>
      <c r="T123" s="38"/>
      <c r="U123" s="40" t="str">
        <f aca="false">IF($A123="","",IFERROR(INDEX(Listas!$E$5:$E$64,MATCH($D123,Listas!$C$5:$C$64,0)),"Não"))</f>
        <v/>
      </c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9" t="str">
        <f aca="false">IF(OR($A124="",$D124=""),"",$A124+IFERROR(INDEX(Listas!$D$5:$D$64,MATCH($D124,Listas!$C$5:$C$64,0)),3))</f>
        <v/>
      </c>
      <c r="N124" s="37"/>
      <c r="O124" s="40" t="str">
        <f aca="false">IF($A124="","",IF($K124="Concluído","Sim","Não"))</f>
        <v/>
      </c>
      <c r="P124" s="40" t="str">
        <f aca="true">IF($A124="","",IF($K124="Stand-by","Stand-by",IF($K124="Concluído","Concluída",IF(AND($M124&lt;&gt;"",$M124&lt;TODAY()),"Atrasada","Em dia"))))</f>
        <v/>
      </c>
      <c r="Q124" s="40" t="str">
        <f aca="false">IF($A124="","",IF(LEN(IF($J124="","título, ","")&amp;IF($C124="","responsável, ","")&amp;IF($D124="","tipo, ","")&amp;IF($I124="","canal, ","")&amp;IF($H124="","município, ","")&amp;IF(AND($U124="Sim",$E124=""),"empresa, ","")&amp;IF(AND($U124="Sim",$F124=""),"editor, ","")&amp;IF(AND($K124="Concluído",$N124=""),"data de conclusão, ","")&amp;IF(AND($K124="Concluído",$R124=""),"link, ","")&amp;IF(AND($K124="Concluído",$L124=""),"quem liberou, ",""))=0,"OK","Falta "&amp;LEFT(IF($J124="","título, ","")&amp;IF($C124="","responsável, ","")&amp;IF($D124="","tipo, ","")&amp;IF($I124="","canal, ","")&amp;IF($H124="","município, ","")&amp;IF(AND($U124="Sim",$E124=""),"empresa, ","")&amp;IF(AND($U124="Sim",$F124=""),"editor, ","")&amp;IF(AND($K124="Concluído",$N124=""),"data de conclusão, ","")&amp;IF(AND($K124="Concluído",$R124=""),"link, ","")&amp;IF(AND($K124="Concluído",$L124=""),"quem liberou, ",""),LEN(IF($J124="","título, ","")&amp;IF($C124="","responsável, ","")&amp;IF($D124="","tipo, ","")&amp;IF($I124="","canal, ","")&amp;IF($H124="","município, ","")&amp;IF(AND($U124="Sim",$E124=""),"empresa, ","")&amp;IF(AND($U124="Sim",$F124=""),"editor, ","")&amp;IF(AND($K124="Concluído",$N124=""),"data de conclusão, ","")&amp;IF(AND($K124="Concluído",$R124=""),"link, ","")&amp;IF(AND($K124="Concluído",$L124=""),"quem liberou, ",""))-2)))</f>
        <v/>
      </c>
      <c r="R124" s="38"/>
      <c r="S124" s="38"/>
      <c r="T124" s="38"/>
      <c r="U124" s="40" t="str">
        <f aca="false">IF($A124="","",IFERROR(INDEX(Listas!$E$5:$E$64,MATCH($D124,Listas!$C$5:$C$64,0)),"Não"))</f>
        <v/>
      </c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9" t="str">
        <f aca="false">IF(OR($A125="",$D125=""),"",$A125+IFERROR(INDEX(Listas!$D$5:$D$64,MATCH($D125,Listas!$C$5:$C$64,0)),3))</f>
        <v/>
      </c>
      <c r="N125" s="37"/>
      <c r="O125" s="40" t="str">
        <f aca="false">IF($A125="","",IF($K125="Concluído","Sim","Não"))</f>
        <v/>
      </c>
      <c r="P125" s="40" t="str">
        <f aca="true">IF($A125="","",IF($K125="Stand-by","Stand-by",IF($K125="Concluído","Concluída",IF(AND($M125&lt;&gt;"",$M125&lt;TODAY()),"Atrasada","Em dia"))))</f>
        <v/>
      </c>
      <c r="Q125" s="40" t="str">
        <f aca="false">IF($A125="","",IF(LEN(IF($J125="","título, ","")&amp;IF($C125="","responsável, ","")&amp;IF($D125="","tipo, ","")&amp;IF($I125="","canal, ","")&amp;IF($H125="","município, ","")&amp;IF(AND($U125="Sim",$E125=""),"empresa, ","")&amp;IF(AND($U125="Sim",$F125=""),"editor, ","")&amp;IF(AND($K125="Concluído",$N125=""),"data de conclusão, ","")&amp;IF(AND($K125="Concluído",$R125=""),"link, ","")&amp;IF(AND($K125="Concluído",$L125=""),"quem liberou, ",""))=0,"OK","Falta "&amp;LEFT(IF($J125="","título, ","")&amp;IF($C125="","responsável, ","")&amp;IF($D125="","tipo, ","")&amp;IF($I125="","canal, ","")&amp;IF($H125="","município, ","")&amp;IF(AND($U125="Sim",$E125=""),"empresa, ","")&amp;IF(AND($U125="Sim",$F125=""),"editor, ","")&amp;IF(AND($K125="Concluído",$N125=""),"data de conclusão, ","")&amp;IF(AND($K125="Concluído",$R125=""),"link, ","")&amp;IF(AND($K125="Concluído",$L125=""),"quem liberou, ",""),LEN(IF($J125="","título, ","")&amp;IF($C125="","responsável, ","")&amp;IF($D125="","tipo, ","")&amp;IF($I125="","canal, ","")&amp;IF($H125="","município, ","")&amp;IF(AND($U125="Sim",$E125=""),"empresa, ","")&amp;IF(AND($U125="Sim",$F125=""),"editor, ","")&amp;IF(AND($K125="Concluído",$N125=""),"data de conclusão, ","")&amp;IF(AND($K125="Concluído",$R125=""),"link, ","")&amp;IF(AND($K125="Concluído",$L125=""),"quem liberou, ",""))-2)))</f>
        <v/>
      </c>
      <c r="R125" s="38"/>
      <c r="S125" s="38"/>
      <c r="T125" s="38"/>
      <c r="U125" s="40" t="str">
        <f aca="false">IF($A125="","",IFERROR(INDEX(Listas!$E$5:$E$64,MATCH($D125,Listas!$C$5:$C$64,0)),"Não"))</f>
        <v/>
      </c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9" t="str">
        <f aca="false">IF(OR($A126="",$D126=""),"",$A126+IFERROR(INDEX(Listas!$D$5:$D$64,MATCH($D126,Listas!$C$5:$C$64,0)),3))</f>
        <v/>
      </c>
      <c r="N126" s="37"/>
      <c r="O126" s="40" t="str">
        <f aca="false">IF($A126="","",IF($K126="Concluído","Sim","Não"))</f>
        <v/>
      </c>
      <c r="P126" s="40" t="str">
        <f aca="true">IF($A126="","",IF($K126="Stand-by","Stand-by",IF($K126="Concluído","Concluída",IF(AND($M126&lt;&gt;"",$M126&lt;TODAY()),"Atrasada","Em dia"))))</f>
        <v/>
      </c>
      <c r="Q126" s="40" t="str">
        <f aca="false">IF($A126="","",IF(LEN(IF($J126="","título, ","")&amp;IF($C126="","responsável, ","")&amp;IF($D126="","tipo, ","")&amp;IF($I126="","canal, ","")&amp;IF($H126="","município, ","")&amp;IF(AND($U126="Sim",$E126=""),"empresa, ","")&amp;IF(AND($U126="Sim",$F126=""),"editor, ","")&amp;IF(AND($K126="Concluído",$N126=""),"data de conclusão, ","")&amp;IF(AND($K126="Concluído",$R126=""),"link, ","")&amp;IF(AND($K126="Concluído",$L126=""),"quem liberou, ",""))=0,"OK","Falta "&amp;LEFT(IF($J126="","título, ","")&amp;IF($C126="","responsável, ","")&amp;IF($D126="","tipo, ","")&amp;IF($I126="","canal, ","")&amp;IF($H126="","município, ","")&amp;IF(AND($U126="Sim",$E126=""),"empresa, ","")&amp;IF(AND($U126="Sim",$F126=""),"editor, ","")&amp;IF(AND($K126="Concluído",$N126=""),"data de conclusão, ","")&amp;IF(AND($K126="Concluído",$R126=""),"link, ","")&amp;IF(AND($K126="Concluído",$L126=""),"quem liberou, ",""),LEN(IF($J126="","título, ","")&amp;IF($C126="","responsável, ","")&amp;IF($D126="","tipo, ","")&amp;IF($I126="","canal, ","")&amp;IF($H126="","município, ","")&amp;IF(AND($U126="Sim",$E126=""),"empresa, ","")&amp;IF(AND($U126="Sim",$F126=""),"editor, ","")&amp;IF(AND($K126="Concluído",$N126=""),"data de conclusão, ","")&amp;IF(AND($K126="Concluído",$R126=""),"link, ","")&amp;IF(AND($K126="Concluído",$L126=""),"quem liberou, ",""))-2)))</f>
        <v/>
      </c>
      <c r="R126" s="38"/>
      <c r="S126" s="38"/>
      <c r="T126" s="38"/>
      <c r="U126" s="40" t="str">
        <f aca="false">IF($A126="","",IFERROR(INDEX(Listas!$E$5:$E$64,MATCH($D126,Listas!$C$5:$C$64,0)),"Não"))</f>
        <v/>
      </c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9" t="str">
        <f aca="false">IF(OR($A127="",$D127=""),"",$A127+IFERROR(INDEX(Listas!$D$5:$D$64,MATCH($D127,Listas!$C$5:$C$64,0)),3))</f>
        <v/>
      </c>
      <c r="N127" s="37"/>
      <c r="O127" s="40" t="str">
        <f aca="false">IF($A127="","",IF($K127="Concluído","Sim","Não"))</f>
        <v/>
      </c>
      <c r="P127" s="40" t="str">
        <f aca="true">IF($A127="","",IF($K127="Stand-by","Stand-by",IF($K127="Concluído","Concluída",IF(AND($M127&lt;&gt;"",$M127&lt;TODAY()),"Atrasada","Em dia"))))</f>
        <v/>
      </c>
      <c r="Q127" s="40" t="str">
        <f aca="false">IF($A127="","",IF(LEN(IF($J127="","título, ","")&amp;IF($C127="","responsável, ","")&amp;IF($D127="","tipo, ","")&amp;IF($I127="","canal, ","")&amp;IF($H127="","município, ","")&amp;IF(AND($U127="Sim",$E127=""),"empresa, ","")&amp;IF(AND($U127="Sim",$F127=""),"editor, ","")&amp;IF(AND($K127="Concluído",$N127=""),"data de conclusão, ","")&amp;IF(AND($K127="Concluído",$R127=""),"link, ","")&amp;IF(AND($K127="Concluído",$L127=""),"quem liberou, ",""))=0,"OK","Falta "&amp;LEFT(IF($J127="","título, ","")&amp;IF($C127="","responsável, ","")&amp;IF($D127="","tipo, ","")&amp;IF($I127="","canal, ","")&amp;IF($H127="","município, ","")&amp;IF(AND($U127="Sim",$E127=""),"empresa, ","")&amp;IF(AND($U127="Sim",$F127=""),"editor, ","")&amp;IF(AND($K127="Concluído",$N127=""),"data de conclusão, ","")&amp;IF(AND($K127="Concluído",$R127=""),"link, ","")&amp;IF(AND($K127="Concluído",$L127=""),"quem liberou, ",""),LEN(IF($J127="","título, ","")&amp;IF($C127="","responsável, ","")&amp;IF($D127="","tipo, ","")&amp;IF($I127="","canal, ","")&amp;IF($H127="","município, ","")&amp;IF(AND($U127="Sim",$E127=""),"empresa, ","")&amp;IF(AND($U127="Sim",$F127=""),"editor, ","")&amp;IF(AND($K127="Concluído",$N127=""),"data de conclusão, ","")&amp;IF(AND($K127="Concluído",$R127=""),"link, ","")&amp;IF(AND($K127="Concluído",$L127=""),"quem liberou, ",""))-2)))</f>
        <v/>
      </c>
      <c r="R127" s="38"/>
      <c r="S127" s="38"/>
      <c r="T127" s="38"/>
      <c r="U127" s="40" t="str">
        <f aca="false">IF($A127="","",IFERROR(INDEX(Listas!$E$5:$E$64,MATCH($D127,Listas!$C$5:$C$64,0)),"Não"))</f>
        <v/>
      </c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9" t="str">
        <f aca="false">IF(OR($A128="",$D128=""),"",$A128+IFERROR(INDEX(Listas!$D$5:$D$64,MATCH($D128,Listas!$C$5:$C$64,0)),3))</f>
        <v/>
      </c>
      <c r="N128" s="37"/>
      <c r="O128" s="40" t="str">
        <f aca="false">IF($A128="","",IF($K128="Concluído","Sim","Não"))</f>
        <v/>
      </c>
      <c r="P128" s="40" t="str">
        <f aca="true">IF($A128="","",IF($K128="Stand-by","Stand-by",IF($K128="Concluído","Concluída",IF(AND($M128&lt;&gt;"",$M128&lt;TODAY()),"Atrasada","Em dia"))))</f>
        <v/>
      </c>
      <c r="Q128" s="40" t="str">
        <f aca="false">IF($A128="","",IF(LEN(IF($J128="","título, ","")&amp;IF($C128="","responsável, ","")&amp;IF($D128="","tipo, ","")&amp;IF($I128="","canal, ","")&amp;IF($H128="","município, ","")&amp;IF(AND($U128="Sim",$E128=""),"empresa, ","")&amp;IF(AND($U128="Sim",$F128=""),"editor, ","")&amp;IF(AND($K128="Concluído",$N128=""),"data de conclusão, ","")&amp;IF(AND($K128="Concluído",$R128=""),"link, ","")&amp;IF(AND($K128="Concluído",$L128=""),"quem liberou, ",""))=0,"OK","Falta "&amp;LEFT(IF($J128="","título, ","")&amp;IF($C128="","responsável, ","")&amp;IF($D128="","tipo, ","")&amp;IF($I128="","canal, ","")&amp;IF($H128="","município, ","")&amp;IF(AND($U128="Sim",$E128=""),"empresa, ","")&amp;IF(AND($U128="Sim",$F128=""),"editor, ","")&amp;IF(AND($K128="Concluído",$N128=""),"data de conclusão, ","")&amp;IF(AND($K128="Concluído",$R128=""),"link, ","")&amp;IF(AND($K128="Concluído",$L128=""),"quem liberou, ",""),LEN(IF($J128="","título, ","")&amp;IF($C128="","responsável, ","")&amp;IF($D128="","tipo, ","")&amp;IF($I128="","canal, ","")&amp;IF($H128="","município, ","")&amp;IF(AND($U128="Sim",$E128=""),"empresa, ","")&amp;IF(AND($U128="Sim",$F128=""),"editor, ","")&amp;IF(AND($K128="Concluído",$N128=""),"data de conclusão, ","")&amp;IF(AND($K128="Concluído",$R128=""),"link, ","")&amp;IF(AND($K128="Concluído",$L128=""),"quem liberou, ",""))-2)))</f>
        <v/>
      </c>
      <c r="R128" s="38"/>
      <c r="S128" s="38"/>
      <c r="T128" s="38"/>
      <c r="U128" s="40" t="str">
        <f aca="false">IF($A128="","",IFERROR(INDEX(Listas!$E$5:$E$64,MATCH($D128,Listas!$C$5:$C$64,0)),"Não"))</f>
        <v/>
      </c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9" t="str">
        <f aca="false">IF(OR($A129="",$D129=""),"",$A129+IFERROR(INDEX(Listas!$D$5:$D$64,MATCH($D129,Listas!$C$5:$C$64,0)),3))</f>
        <v/>
      </c>
      <c r="N129" s="37"/>
      <c r="O129" s="40" t="str">
        <f aca="false">IF($A129="","",IF($K129="Concluído","Sim","Não"))</f>
        <v/>
      </c>
      <c r="P129" s="40" t="str">
        <f aca="true">IF($A129="","",IF($K129="Stand-by","Stand-by",IF($K129="Concluído","Concluída",IF(AND($M129&lt;&gt;"",$M129&lt;TODAY()),"Atrasada","Em dia"))))</f>
        <v/>
      </c>
      <c r="Q129" s="40" t="str">
        <f aca="false">IF($A129="","",IF(LEN(IF($J129="","título, ","")&amp;IF($C129="","responsável, ","")&amp;IF($D129="","tipo, ","")&amp;IF($I129="","canal, ","")&amp;IF($H129="","município, ","")&amp;IF(AND($U129="Sim",$E129=""),"empresa, ","")&amp;IF(AND($U129="Sim",$F129=""),"editor, ","")&amp;IF(AND($K129="Concluído",$N129=""),"data de conclusão, ","")&amp;IF(AND($K129="Concluído",$R129=""),"link, ","")&amp;IF(AND($K129="Concluído",$L129=""),"quem liberou, ",""))=0,"OK","Falta "&amp;LEFT(IF($J129="","título, ","")&amp;IF($C129="","responsável, ","")&amp;IF($D129="","tipo, ","")&amp;IF($I129="","canal, ","")&amp;IF($H129="","município, ","")&amp;IF(AND($U129="Sim",$E129=""),"empresa, ","")&amp;IF(AND($U129="Sim",$F129=""),"editor, ","")&amp;IF(AND($K129="Concluído",$N129=""),"data de conclusão, ","")&amp;IF(AND($K129="Concluído",$R129=""),"link, ","")&amp;IF(AND($K129="Concluído",$L129=""),"quem liberou, ",""),LEN(IF($J129="","título, ","")&amp;IF($C129="","responsável, ","")&amp;IF($D129="","tipo, ","")&amp;IF($I129="","canal, ","")&amp;IF($H129="","município, ","")&amp;IF(AND($U129="Sim",$E129=""),"empresa, ","")&amp;IF(AND($U129="Sim",$F129=""),"editor, ","")&amp;IF(AND($K129="Concluído",$N129=""),"data de conclusão, ","")&amp;IF(AND($K129="Concluído",$R129=""),"link, ","")&amp;IF(AND($K129="Concluído",$L129=""),"quem liberou, ",""))-2)))</f>
        <v/>
      </c>
      <c r="R129" s="38"/>
      <c r="S129" s="38"/>
      <c r="T129" s="38"/>
      <c r="U129" s="40" t="str">
        <f aca="false">IF($A129="","",IFERROR(INDEX(Listas!$E$5:$E$64,MATCH($D129,Listas!$C$5:$C$64,0)),"Não"))</f>
        <v/>
      </c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9" t="str">
        <f aca="false">IF(OR($A130="",$D130=""),"",$A130+IFERROR(INDEX(Listas!$D$5:$D$64,MATCH($D130,Listas!$C$5:$C$64,0)),3))</f>
        <v/>
      </c>
      <c r="N130" s="37"/>
      <c r="O130" s="40" t="str">
        <f aca="false">IF($A130="","",IF($K130="Concluído","Sim","Não"))</f>
        <v/>
      </c>
      <c r="P130" s="40" t="str">
        <f aca="true">IF($A130="","",IF($K130="Stand-by","Stand-by",IF($K130="Concluído","Concluída",IF(AND($M130&lt;&gt;"",$M130&lt;TODAY()),"Atrasada","Em dia"))))</f>
        <v/>
      </c>
      <c r="Q130" s="40" t="str">
        <f aca="false">IF($A130="","",IF(LEN(IF($J130="","título, ","")&amp;IF($C130="","responsável, ","")&amp;IF($D130="","tipo, ","")&amp;IF($I130="","canal, ","")&amp;IF($H130="","município, ","")&amp;IF(AND($U130="Sim",$E130=""),"empresa, ","")&amp;IF(AND($U130="Sim",$F130=""),"editor, ","")&amp;IF(AND($K130="Concluído",$N130=""),"data de conclusão, ","")&amp;IF(AND($K130="Concluído",$R130=""),"link, ","")&amp;IF(AND($K130="Concluído",$L130=""),"quem liberou, ",""))=0,"OK","Falta "&amp;LEFT(IF($J130="","título, ","")&amp;IF($C130="","responsável, ","")&amp;IF($D130="","tipo, ","")&amp;IF($I130="","canal, ","")&amp;IF($H130="","município, ","")&amp;IF(AND($U130="Sim",$E130=""),"empresa, ","")&amp;IF(AND($U130="Sim",$F130=""),"editor, ","")&amp;IF(AND($K130="Concluído",$N130=""),"data de conclusão, ","")&amp;IF(AND($K130="Concluído",$R130=""),"link, ","")&amp;IF(AND($K130="Concluído",$L130=""),"quem liberou, ",""),LEN(IF($J130="","título, ","")&amp;IF($C130="","responsável, ","")&amp;IF($D130="","tipo, ","")&amp;IF($I130="","canal, ","")&amp;IF($H130="","município, ","")&amp;IF(AND($U130="Sim",$E130=""),"empresa, ","")&amp;IF(AND($U130="Sim",$F130=""),"editor, ","")&amp;IF(AND($K130="Concluído",$N130=""),"data de conclusão, ","")&amp;IF(AND($K130="Concluído",$R130=""),"link, ","")&amp;IF(AND($K130="Concluído",$L130=""),"quem liberou, ",""))-2)))</f>
        <v/>
      </c>
      <c r="R130" s="38"/>
      <c r="S130" s="38"/>
      <c r="T130" s="38"/>
      <c r="U130" s="40" t="str">
        <f aca="false">IF($A130="","",IFERROR(INDEX(Listas!$E$5:$E$64,MATCH($D130,Listas!$C$5:$C$64,0)),"Não"))</f>
        <v/>
      </c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9" t="str">
        <f aca="false">IF(OR($A131="",$D131=""),"",$A131+IFERROR(INDEX(Listas!$D$5:$D$64,MATCH($D131,Listas!$C$5:$C$64,0)),3))</f>
        <v/>
      </c>
      <c r="N131" s="37"/>
      <c r="O131" s="40" t="str">
        <f aca="false">IF($A131="","",IF($K131="Concluído","Sim","Não"))</f>
        <v/>
      </c>
      <c r="P131" s="40" t="str">
        <f aca="true">IF($A131="","",IF($K131="Stand-by","Stand-by",IF($K131="Concluído","Concluída",IF(AND($M131&lt;&gt;"",$M131&lt;TODAY()),"Atrasada","Em dia"))))</f>
        <v/>
      </c>
      <c r="Q131" s="40" t="str">
        <f aca="false">IF($A131="","",IF(LEN(IF($J131="","título, ","")&amp;IF($C131="","responsável, ","")&amp;IF($D131="","tipo, ","")&amp;IF($I131="","canal, ","")&amp;IF($H131="","município, ","")&amp;IF(AND($U131="Sim",$E131=""),"empresa, ","")&amp;IF(AND($U131="Sim",$F131=""),"editor, ","")&amp;IF(AND($K131="Concluído",$N131=""),"data de conclusão, ","")&amp;IF(AND($K131="Concluído",$R131=""),"link, ","")&amp;IF(AND($K131="Concluído",$L131=""),"quem liberou, ",""))=0,"OK","Falta "&amp;LEFT(IF($J131="","título, ","")&amp;IF($C131="","responsável, ","")&amp;IF($D131="","tipo, ","")&amp;IF($I131="","canal, ","")&amp;IF($H131="","município, ","")&amp;IF(AND($U131="Sim",$E131=""),"empresa, ","")&amp;IF(AND($U131="Sim",$F131=""),"editor, ","")&amp;IF(AND($K131="Concluído",$N131=""),"data de conclusão, ","")&amp;IF(AND($K131="Concluído",$R131=""),"link, ","")&amp;IF(AND($K131="Concluído",$L131=""),"quem liberou, ",""),LEN(IF($J131="","título, ","")&amp;IF($C131="","responsável, ","")&amp;IF($D131="","tipo, ","")&amp;IF($I131="","canal, ","")&amp;IF($H131="","município, ","")&amp;IF(AND($U131="Sim",$E131=""),"empresa, ","")&amp;IF(AND($U131="Sim",$F131=""),"editor, ","")&amp;IF(AND($K131="Concluído",$N131=""),"data de conclusão, ","")&amp;IF(AND($K131="Concluído",$R131=""),"link, ","")&amp;IF(AND($K131="Concluído",$L131=""),"quem liberou, ",""))-2)))</f>
        <v/>
      </c>
      <c r="R131" s="38"/>
      <c r="S131" s="38"/>
      <c r="T131" s="38"/>
      <c r="U131" s="40" t="str">
        <f aca="false">IF($A131="","",IFERROR(INDEX(Listas!$E$5:$E$64,MATCH($D131,Listas!$C$5:$C$64,0)),"Não"))</f>
        <v/>
      </c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9" t="str">
        <f aca="false">IF(OR($A132="",$D132=""),"",$A132+IFERROR(INDEX(Listas!$D$5:$D$64,MATCH($D132,Listas!$C$5:$C$64,0)),3))</f>
        <v/>
      </c>
      <c r="N132" s="37"/>
      <c r="O132" s="40" t="str">
        <f aca="false">IF($A132="","",IF($K132="Concluído","Sim","Não"))</f>
        <v/>
      </c>
      <c r="P132" s="40" t="str">
        <f aca="true">IF($A132="","",IF($K132="Stand-by","Stand-by",IF($K132="Concluído","Concluída",IF(AND($M132&lt;&gt;"",$M132&lt;TODAY()),"Atrasada","Em dia"))))</f>
        <v/>
      </c>
      <c r="Q132" s="40" t="str">
        <f aca="false">IF($A132="","",IF(LEN(IF($J132="","título, ","")&amp;IF($C132="","responsável, ","")&amp;IF($D132="","tipo, ","")&amp;IF($I132="","canal, ","")&amp;IF($H132="","município, ","")&amp;IF(AND($U132="Sim",$E132=""),"empresa, ","")&amp;IF(AND($U132="Sim",$F132=""),"editor, ","")&amp;IF(AND($K132="Concluído",$N132=""),"data de conclusão, ","")&amp;IF(AND($K132="Concluído",$R132=""),"link, ","")&amp;IF(AND($K132="Concluído",$L132=""),"quem liberou, ",""))=0,"OK","Falta "&amp;LEFT(IF($J132="","título, ","")&amp;IF($C132="","responsável, ","")&amp;IF($D132="","tipo, ","")&amp;IF($I132="","canal, ","")&amp;IF($H132="","município, ","")&amp;IF(AND($U132="Sim",$E132=""),"empresa, ","")&amp;IF(AND($U132="Sim",$F132=""),"editor, ","")&amp;IF(AND($K132="Concluído",$N132=""),"data de conclusão, ","")&amp;IF(AND($K132="Concluído",$R132=""),"link, ","")&amp;IF(AND($K132="Concluído",$L132=""),"quem liberou, ",""),LEN(IF($J132="","título, ","")&amp;IF($C132="","responsável, ","")&amp;IF($D132="","tipo, ","")&amp;IF($I132="","canal, ","")&amp;IF($H132="","município, ","")&amp;IF(AND($U132="Sim",$E132=""),"empresa, ","")&amp;IF(AND($U132="Sim",$F132=""),"editor, ","")&amp;IF(AND($K132="Concluído",$N132=""),"data de conclusão, ","")&amp;IF(AND($K132="Concluído",$R132=""),"link, ","")&amp;IF(AND($K132="Concluído",$L132=""),"quem liberou, ",""))-2)))</f>
        <v/>
      </c>
      <c r="R132" s="38"/>
      <c r="S132" s="38"/>
      <c r="T132" s="38"/>
      <c r="U132" s="40" t="str">
        <f aca="false">IF($A132="","",IFERROR(INDEX(Listas!$E$5:$E$64,MATCH($D132,Listas!$C$5:$C$64,0)),"Não"))</f>
        <v/>
      </c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9" t="str">
        <f aca="false">IF(OR($A133="",$D133=""),"",$A133+IFERROR(INDEX(Listas!$D$5:$D$64,MATCH($D133,Listas!$C$5:$C$64,0)),3))</f>
        <v/>
      </c>
      <c r="N133" s="37"/>
      <c r="O133" s="40" t="str">
        <f aca="false">IF($A133="","",IF($K133="Concluído","Sim","Não"))</f>
        <v/>
      </c>
      <c r="P133" s="40" t="str">
        <f aca="true">IF($A133="","",IF($K133="Stand-by","Stand-by",IF($K133="Concluído","Concluída",IF(AND($M133&lt;&gt;"",$M133&lt;TODAY()),"Atrasada","Em dia"))))</f>
        <v/>
      </c>
      <c r="Q133" s="40" t="str">
        <f aca="false">IF($A133="","",IF(LEN(IF($J133="","título, ","")&amp;IF($C133="","responsável, ","")&amp;IF($D133="","tipo, ","")&amp;IF($I133="","canal, ","")&amp;IF($H133="","município, ","")&amp;IF(AND($U133="Sim",$E133=""),"empresa, ","")&amp;IF(AND($U133="Sim",$F133=""),"editor, ","")&amp;IF(AND($K133="Concluído",$N133=""),"data de conclusão, ","")&amp;IF(AND($K133="Concluído",$R133=""),"link, ","")&amp;IF(AND($K133="Concluído",$L133=""),"quem liberou, ",""))=0,"OK","Falta "&amp;LEFT(IF($J133="","título, ","")&amp;IF($C133="","responsável, ","")&amp;IF($D133="","tipo, ","")&amp;IF($I133="","canal, ","")&amp;IF($H133="","município, ","")&amp;IF(AND($U133="Sim",$E133=""),"empresa, ","")&amp;IF(AND($U133="Sim",$F133=""),"editor, ","")&amp;IF(AND($K133="Concluído",$N133=""),"data de conclusão, ","")&amp;IF(AND($K133="Concluído",$R133=""),"link, ","")&amp;IF(AND($K133="Concluído",$L133=""),"quem liberou, ",""),LEN(IF($J133="","título, ","")&amp;IF($C133="","responsável, ","")&amp;IF($D133="","tipo, ","")&amp;IF($I133="","canal, ","")&amp;IF($H133="","município, ","")&amp;IF(AND($U133="Sim",$E133=""),"empresa, ","")&amp;IF(AND($U133="Sim",$F133=""),"editor, ","")&amp;IF(AND($K133="Concluído",$N133=""),"data de conclusão, ","")&amp;IF(AND($K133="Concluído",$R133=""),"link, ","")&amp;IF(AND($K133="Concluído",$L133=""),"quem liberou, ",""))-2)))</f>
        <v/>
      </c>
      <c r="R133" s="38"/>
      <c r="S133" s="38"/>
      <c r="T133" s="38"/>
      <c r="U133" s="40" t="str">
        <f aca="false">IF($A133="","",IFERROR(INDEX(Listas!$E$5:$E$64,MATCH($D133,Listas!$C$5:$C$64,0)),"Não"))</f>
        <v/>
      </c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9" t="str">
        <f aca="false">IF(OR($A134="",$D134=""),"",$A134+IFERROR(INDEX(Listas!$D$5:$D$64,MATCH($D134,Listas!$C$5:$C$64,0)),3))</f>
        <v/>
      </c>
      <c r="N134" s="37"/>
      <c r="O134" s="40" t="str">
        <f aca="false">IF($A134="","",IF($K134="Concluído","Sim","Não"))</f>
        <v/>
      </c>
      <c r="P134" s="40" t="str">
        <f aca="true">IF($A134="","",IF($K134="Stand-by","Stand-by",IF($K134="Concluído","Concluída",IF(AND($M134&lt;&gt;"",$M134&lt;TODAY()),"Atrasada","Em dia"))))</f>
        <v/>
      </c>
      <c r="Q134" s="40" t="str">
        <f aca="false">IF($A134="","",IF(LEN(IF($J134="","título, ","")&amp;IF($C134="","responsável, ","")&amp;IF($D134="","tipo, ","")&amp;IF($I134="","canal, ","")&amp;IF($H134="","município, ","")&amp;IF(AND($U134="Sim",$E134=""),"empresa, ","")&amp;IF(AND($U134="Sim",$F134=""),"editor, ","")&amp;IF(AND($K134="Concluído",$N134=""),"data de conclusão, ","")&amp;IF(AND($K134="Concluído",$R134=""),"link, ","")&amp;IF(AND($K134="Concluído",$L134=""),"quem liberou, ",""))=0,"OK","Falta "&amp;LEFT(IF($J134="","título, ","")&amp;IF($C134="","responsável, ","")&amp;IF($D134="","tipo, ","")&amp;IF($I134="","canal, ","")&amp;IF($H134="","município, ","")&amp;IF(AND($U134="Sim",$E134=""),"empresa, ","")&amp;IF(AND($U134="Sim",$F134=""),"editor, ","")&amp;IF(AND($K134="Concluído",$N134=""),"data de conclusão, ","")&amp;IF(AND($K134="Concluído",$R134=""),"link, ","")&amp;IF(AND($K134="Concluído",$L134=""),"quem liberou, ",""),LEN(IF($J134="","título, ","")&amp;IF($C134="","responsável, ","")&amp;IF($D134="","tipo, ","")&amp;IF($I134="","canal, ","")&amp;IF($H134="","município, ","")&amp;IF(AND($U134="Sim",$E134=""),"empresa, ","")&amp;IF(AND($U134="Sim",$F134=""),"editor, ","")&amp;IF(AND($K134="Concluído",$N134=""),"data de conclusão, ","")&amp;IF(AND($K134="Concluído",$R134=""),"link, ","")&amp;IF(AND($K134="Concluído",$L134=""),"quem liberou, ",""))-2)))</f>
        <v/>
      </c>
      <c r="R134" s="38"/>
      <c r="S134" s="38"/>
      <c r="T134" s="38"/>
      <c r="U134" s="40" t="str">
        <f aca="false">IF($A134="","",IFERROR(INDEX(Listas!$E$5:$E$64,MATCH($D134,Listas!$C$5:$C$64,0)),"Não"))</f>
        <v/>
      </c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9" t="str">
        <f aca="false">IF(OR($A135="",$D135=""),"",$A135+IFERROR(INDEX(Listas!$D$5:$D$64,MATCH($D135,Listas!$C$5:$C$64,0)),3))</f>
        <v/>
      </c>
      <c r="N135" s="37"/>
      <c r="O135" s="40" t="str">
        <f aca="false">IF($A135="","",IF($K135="Concluído","Sim","Não"))</f>
        <v/>
      </c>
      <c r="P135" s="40" t="str">
        <f aca="true">IF($A135="","",IF($K135="Stand-by","Stand-by",IF($K135="Concluído","Concluída",IF(AND($M135&lt;&gt;"",$M135&lt;TODAY()),"Atrasada","Em dia"))))</f>
        <v/>
      </c>
      <c r="Q135" s="40" t="str">
        <f aca="false">IF($A135="","",IF(LEN(IF($J135="","título, ","")&amp;IF($C135="","responsável, ","")&amp;IF($D135="","tipo, ","")&amp;IF($I135="","canal, ","")&amp;IF($H135="","município, ","")&amp;IF(AND($U135="Sim",$E135=""),"empresa, ","")&amp;IF(AND($U135="Sim",$F135=""),"editor, ","")&amp;IF(AND($K135="Concluído",$N135=""),"data de conclusão, ","")&amp;IF(AND($K135="Concluído",$R135=""),"link, ","")&amp;IF(AND($K135="Concluído",$L135=""),"quem liberou, ",""))=0,"OK","Falta "&amp;LEFT(IF($J135="","título, ","")&amp;IF($C135="","responsável, ","")&amp;IF($D135="","tipo, ","")&amp;IF($I135="","canal, ","")&amp;IF($H135="","município, ","")&amp;IF(AND($U135="Sim",$E135=""),"empresa, ","")&amp;IF(AND($U135="Sim",$F135=""),"editor, ","")&amp;IF(AND($K135="Concluído",$N135=""),"data de conclusão, ","")&amp;IF(AND($K135="Concluído",$R135=""),"link, ","")&amp;IF(AND($K135="Concluído",$L135=""),"quem liberou, ",""),LEN(IF($J135="","título, ","")&amp;IF($C135="","responsável, ","")&amp;IF($D135="","tipo, ","")&amp;IF($I135="","canal, ","")&amp;IF($H135="","município, ","")&amp;IF(AND($U135="Sim",$E135=""),"empresa, ","")&amp;IF(AND($U135="Sim",$F135=""),"editor, ","")&amp;IF(AND($K135="Concluído",$N135=""),"data de conclusão, ","")&amp;IF(AND($K135="Concluído",$R135=""),"link, ","")&amp;IF(AND($K135="Concluído",$L135=""),"quem liberou, ",""))-2)))</f>
        <v/>
      </c>
      <c r="R135" s="38"/>
      <c r="S135" s="38"/>
      <c r="T135" s="38"/>
      <c r="U135" s="40" t="str">
        <f aca="false">IF($A135="","",IFERROR(INDEX(Listas!$E$5:$E$64,MATCH($D135,Listas!$C$5:$C$64,0)),"Não"))</f>
        <v/>
      </c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9" t="str">
        <f aca="false">IF(OR($A136="",$D136=""),"",$A136+IFERROR(INDEX(Listas!$D$5:$D$64,MATCH($D136,Listas!$C$5:$C$64,0)),3))</f>
        <v/>
      </c>
      <c r="N136" s="37"/>
      <c r="O136" s="40" t="str">
        <f aca="false">IF($A136="","",IF($K136="Concluído","Sim","Não"))</f>
        <v/>
      </c>
      <c r="P136" s="40" t="str">
        <f aca="true">IF($A136="","",IF($K136="Stand-by","Stand-by",IF($K136="Concluído","Concluída",IF(AND($M136&lt;&gt;"",$M136&lt;TODAY()),"Atrasada","Em dia"))))</f>
        <v/>
      </c>
      <c r="Q136" s="40" t="str">
        <f aca="false">IF($A136="","",IF(LEN(IF($J136="","título, ","")&amp;IF($C136="","responsável, ","")&amp;IF($D136="","tipo, ","")&amp;IF($I136="","canal, ","")&amp;IF($H136="","município, ","")&amp;IF(AND($U136="Sim",$E136=""),"empresa, ","")&amp;IF(AND($U136="Sim",$F136=""),"editor, ","")&amp;IF(AND($K136="Concluído",$N136=""),"data de conclusão, ","")&amp;IF(AND($K136="Concluído",$R136=""),"link, ","")&amp;IF(AND($K136="Concluído",$L136=""),"quem liberou, ",""))=0,"OK","Falta "&amp;LEFT(IF($J136="","título, ","")&amp;IF($C136="","responsável, ","")&amp;IF($D136="","tipo, ","")&amp;IF($I136="","canal, ","")&amp;IF($H136="","município, ","")&amp;IF(AND($U136="Sim",$E136=""),"empresa, ","")&amp;IF(AND($U136="Sim",$F136=""),"editor, ","")&amp;IF(AND($K136="Concluído",$N136=""),"data de conclusão, ","")&amp;IF(AND($K136="Concluído",$R136=""),"link, ","")&amp;IF(AND($K136="Concluído",$L136=""),"quem liberou, ",""),LEN(IF($J136="","título, ","")&amp;IF($C136="","responsável, ","")&amp;IF($D136="","tipo, ","")&amp;IF($I136="","canal, ","")&amp;IF($H136="","município, ","")&amp;IF(AND($U136="Sim",$E136=""),"empresa, ","")&amp;IF(AND($U136="Sim",$F136=""),"editor, ","")&amp;IF(AND($K136="Concluído",$N136=""),"data de conclusão, ","")&amp;IF(AND($K136="Concluído",$R136=""),"link, ","")&amp;IF(AND($K136="Concluído",$L136=""),"quem liberou, ",""))-2)))</f>
        <v/>
      </c>
      <c r="R136" s="38"/>
      <c r="S136" s="38"/>
      <c r="T136" s="38"/>
      <c r="U136" s="40" t="str">
        <f aca="false">IF($A136="","",IFERROR(INDEX(Listas!$E$5:$E$64,MATCH($D136,Listas!$C$5:$C$64,0)),"Não"))</f>
        <v/>
      </c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9" t="str">
        <f aca="false">IF(OR($A137="",$D137=""),"",$A137+IFERROR(INDEX(Listas!$D$5:$D$64,MATCH($D137,Listas!$C$5:$C$64,0)),3))</f>
        <v/>
      </c>
      <c r="N137" s="37"/>
      <c r="O137" s="40" t="str">
        <f aca="false">IF($A137="","",IF($K137="Concluído","Sim","Não"))</f>
        <v/>
      </c>
      <c r="P137" s="40" t="str">
        <f aca="true">IF($A137="","",IF($K137="Stand-by","Stand-by",IF($K137="Concluído","Concluída",IF(AND($M137&lt;&gt;"",$M137&lt;TODAY()),"Atrasada","Em dia"))))</f>
        <v/>
      </c>
      <c r="Q137" s="40" t="str">
        <f aca="false">IF($A137="","",IF(LEN(IF($J137="","título, ","")&amp;IF($C137="","responsável, ","")&amp;IF($D137="","tipo, ","")&amp;IF($I137="","canal, ","")&amp;IF($H137="","município, ","")&amp;IF(AND($U137="Sim",$E137=""),"empresa, ","")&amp;IF(AND($U137="Sim",$F137=""),"editor, ","")&amp;IF(AND($K137="Concluído",$N137=""),"data de conclusão, ","")&amp;IF(AND($K137="Concluído",$R137=""),"link, ","")&amp;IF(AND($K137="Concluído",$L137=""),"quem liberou, ",""))=0,"OK","Falta "&amp;LEFT(IF($J137="","título, ","")&amp;IF($C137="","responsável, ","")&amp;IF($D137="","tipo, ","")&amp;IF($I137="","canal, ","")&amp;IF($H137="","município, ","")&amp;IF(AND($U137="Sim",$E137=""),"empresa, ","")&amp;IF(AND($U137="Sim",$F137=""),"editor, ","")&amp;IF(AND($K137="Concluído",$N137=""),"data de conclusão, ","")&amp;IF(AND($K137="Concluído",$R137=""),"link, ","")&amp;IF(AND($K137="Concluído",$L137=""),"quem liberou, ",""),LEN(IF($J137="","título, ","")&amp;IF($C137="","responsável, ","")&amp;IF($D137="","tipo, ","")&amp;IF($I137="","canal, ","")&amp;IF($H137="","município, ","")&amp;IF(AND($U137="Sim",$E137=""),"empresa, ","")&amp;IF(AND($U137="Sim",$F137=""),"editor, ","")&amp;IF(AND($K137="Concluído",$N137=""),"data de conclusão, ","")&amp;IF(AND($K137="Concluído",$R137=""),"link, ","")&amp;IF(AND($K137="Concluído",$L137=""),"quem liberou, ",""))-2)))</f>
        <v/>
      </c>
      <c r="R137" s="38"/>
      <c r="S137" s="38"/>
      <c r="T137" s="38"/>
      <c r="U137" s="40" t="str">
        <f aca="false">IF($A137="","",IFERROR(INDEX(Listas!$E$5:$E$64,MATCH($D137,Listas!$C$5:$C$64,0)),"Não"))</f>
        <v/>
      </c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9" t="str">
        <f aca="false">IF(OR($A138="",$D138=""),"",$A138+IFERROR(INDEX(Listas!$D$5:$D$64,MATCH($D138,Listas!$C$5:$C$64,0)),3))</f>
        <v/>
      </c>
      <c r="N138" s="37"/>
      <c r="O138" s="40" t="str">
        <f aca="false">IF($A138="","",IF($K138="Concluído","Sim","Não"))</f>
        <v/>
      </c>
      <c r="P138" s="40" t="str">
        <f aca="true">IF($A138="","",IF($K138="Stand-by","Stand-by",IF($K138="Concluído","Concluída",IF(AND($M138&lt;&gt;"",$M138&lt;TODAY()),"Atrasada","Em dia"))))</f>
        <v/>
      </c>
      <c r="Q138" s="40" t="str">
        <f aca="false">IF($A138="","",IF(LEN(IF($J138="","título, ","")&amp;IF($C138="","responsável, ","")&amp;IF($D138="","tipo, ","")&amp;IF($I138="","canal, ","")&amp;IF($H138="","município, ","")&amp;IF(AND($U138="Sim",$E138=""),"empresa, ","")&amp;IF(AND($U138="Sim",$F138=""),"editor, ","")&amp;IF(AND($K138="Concluído",$N138=""),"data de conclusão, ","")&amp;IF(AND($K138="Concluído",$R138=""),"link, ","")&amp;IF(AND($K138="Concluído",$L138=""),"quem liberou, ",""))=0,"OK","Falta "&amp;LEFT(IF($J138="","título, ","")&amp;IF($C138="","responsável, ","")&amp;IF($D138="","tipo, ","")&amp;IF($I138="","canal, ","")&amp;IF($H138="","município, ","")&amp;IF(AND($U138="Sim",$E138=""),"empresa, ","")&amp;IF(AND($U138="Sim",$F138=""),"editor, ","")&amp;IF(AND($K138="Concluído",$N138=""),"data de conclusão, ","")&amp;IF(AND($K138="Concluído",$R138=""),"link, ","")&amp;IF(AND($K138="Concluído",$L138=""),"quem liberou, ",""),LEN(IF($J138="","título, ","")&amp;IF($C138="","responsável, ","")&amp;IF($D138="","tipo, ","")&amp;IF($I138="","canal, ","")&amp;IF($H138="","município, ","")&amp;IF(AND($U138="Sim",$E138=""),"empresa, ","")&amp;IF(AND($U138="Sim",$F138=""),"editor, ","")&amp;IF(AND($K138="Concluído",$N138=""),"data de conclusão, ","")&amp;IF(AND($K138="Concluído",$R138=""),"link, ","")&amp;IF(AND($K138="Concluído",$L138=""),"quem liberou, ",""))-2)))</f>
        <v/>
      </c>
      <c r="R138" s="38"/>
      <c r="S138" s="38"/>
      <c r="T138" s="38"/>
      <c r="U138" s="40" t="str">
        <f aca="false">IF($A138="","",IFERROR(INDEX(Listas!$E$5:$E$64,MATCH($D138,Listas!$C$5:$C$64,0)),"Não"))</f>
        <v/>
      </c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9" t="str">
        <f aca="false">IF(OR($A139="",$D139=""),"",$A139+IFERROR(INDEX(Listas!$D$5:$D$64,MATCH($D139,Listas!$C$5:$C$64,0)),3))</f>
        <v/>
      </c>
      <c r="N139" s="37"/>
      <c r="O139" s="40" t="str">
        <f aca="false">IF($A139="","",IF($K139="Concluído","Sim","Não"))</f>
        <v/>
      </c>
      <c r="P139" s="40" t="str">
        <f aca="true">IF($A139="","",IF($K139="Stand-by","Stand-by",IF($K139="Concluído","Concluída",IF(AND($M139&lt;&gt;"",$M139&lt;TODAY()),"Atrasada","Em dia"))))</f>
        <v/>
      </c>
      <c r="Q139" s="40" t="str">
        <f aca="false">IF($A139="","",IF(LEN(IF($J139="","título, ","")&amp;IF($C139="","responsável, ","")&amp;IF($D139="","tipo, ","")&amp;IF($I139="","canal, ","")&amp;IF($H139="","município, ","")&amp;IF(AND($U139="Sim",$E139=""),"empresa, ","")&amp;IF(AND($U139="Sim",$F139=""),"editor, ","")&amp;IF(AND($K139="Concluído",$N139=""),"data de conclusão, ","")&amp;IF(AND($K139="Concluído",$R139=""),"link, ","")&amp;IF(AND($K139="Concluído",$L139=""),"quem liberou, ",""))=0,"OK","Falta "&amp;LEFT(IF($J139="","título, ","")&amp;IF($C139="","responsável, ","")&amp;IF($D139="","tipo, ","")&amp;IF($I139="","canal, ","")&amp;IF($H139="","município, ","")&amp;IF(AND($U139="Sim",$E139=""),"empresa, ","")&amp;IF(AND($U139="Sim",$F139=""),"editor, ","")&amp;IF(AND($K139="Concluído",$N139=""),"data de conclusão, ","")&amp;IF(AND($K139="Concluído",$R139=""),"link, ","")&amp;IF(AND($K139="Concluído",$L139=""),"quem liberou, ",""),LEN(IF($J139="","título, ","")&amp;IF($C139="","responsável, ","")&amp;IF($D139="","tipo, ","")&amp;IF($I139="","canal, ","")&amp;IF($H139="","município, ","")&amp;IF(AND($U139="Sim",$E139=""),"empresa, ","")&amp;IF(AND($U139="Sim",$F139=""),"editor, ","")&amp;IF(AND($K139="Concluído",$N139=""),"data de conclusão, ","")&amp;IF(AND($K139="Concluído",$R139=""),"link, ","")&amp;IF(AND($K139="Concluído",$L139=""),"quem liberou, ",""))-2)))</f>
        <v/>
      </c>
      <c r="R139" s="38"/>
      <c r="S139" s="38"/>
      <c r="T139" s="38"/>
      <c r="U139" s="40" t="str">
        <f aca="false">IF($A139="","",IFERROR(INDEX(Listas!$E$5:$E$64,MATCH($D139,Listas!$C$5:$C$64,0)),"Não"))</f>
        <v/>
      </c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9" t="str">
        <f aca="false">IF(OR($A140="",$D140=""),"",$A140+IFERROR(INDEX(Listas!$D$5:$D$64,MATCH($D140,Listas!$C$5:$C$64,0)),3))</f>
        <v/>
      </c>
      <c r="N140" s="37"/>
      <c r="O140" s="40" t="str">
        <f aca="false">IF($A140="","",IF($K140="Concluído","Sim","Não"))</f>
        <v/>
      </c>
      <c r="P140" s="40" t="str">
        <f aca="true">IF($A140="","",IF($K140="Stand-by","Stand-by",IF($K140="Concluído","Concluída",IF(AND($M140&lt;&gt;"",$M140&lt;TODAY()),"Atrasada","Em dia"))))</f>
        <v/>
      </c>
      <c r="Q140" s="40" t="str">
        <f aca="false">IF($A140="","",IF(LEN(IF($J140="","título, ","")&amp;IF($C140="","responsável, ","")&amp;IF($D140="","tipo, ","")&amp;IF($I140="","canal, ","")&amp;IF($H140="","município, ","")&amp;IF(AND($U140="Sim",$E140=""),"empresa, ","")&amp;IF(AND($U140="Sim",$F140=""),"editor, ","")&amp;IF(AND($K140="Concluído",$N140=""),"data de conclusão, ","")&amp;IF(AND($K140="Concluído",$R140=""),"link, ","")&amp;IF(AND($K140="Concluído",$L140=""),"quem liberou, ",""))=0,"OK","Falta "&amp;LEFT(IF($J140="","título, ","")&amp;IF($C140="","responsável, ","")&amp;IF($D140="","tipo, ","")&amp;IF($I140="","canal, ","")&amp;IF($H140="","município, ","")&amp;IF(AND($U140="Sim",$E140=""),"empresa, ","")&amp;IF(AND($U140="Sim",$F140=""),"editor, ","")&amp;IF(AND($K140="Concluído",$N140=""),"data de conclusão, ","")&amp;IF(AND($K140="Concluído",$R140=""),"link, ","")&amp;IF(AND($K140="Concluído",$L140=""),"quem liberou, ",""),LEN(IF($J140="","título, ","")&amp;IF($C140="","responsável, ","")&amp;IF($D140="","tipo, ","")&amp;IF($I140="","canal, ","")&amp;IF($H140="","município, ","")&amp;IF(AND($U140="Sim",$E140=""),"empresa, ","")&amp;IF(AND($U140="Sim",$F140=""),"editor, ","")&amp;IF(AND($K140="Concluído",$N140=""),"data de conclusão, ","")&amp;IF(AND($K140="Concluído",$R140=""),"link, ","")&amp;IF(AND($K140="Concluído",$L140=""),"quem liberou, ",""))-2)))</f>
        <v/>
      </c>
      <c r="R140" s="38"/>
      <c r="S140" s="38"/>
      <c r="T140" s="38"/>
      <c r="U140" s="40" t="str">
        <f aca="false">IF($A140="","",IFERROR(INDEX(Listas!$E$5:$E$64,MATCH($D140,Listas!$C$5:$C$64,0)),"Não"))</f>
        <v/>
      </c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9" t="str">
        <f aca="false">IF(OR($A141="",$D141=""),"",$A141+IFERROR(INDEX(Listas!$D$5:$D$64,MATCH($D141,Listas!$C$5:$C$64,0)),3))</f>
        <v/>
      </c>
      <c r="N141" s="37"/>
      <c r="O141" s="40" t="str">
        <f aca="false">IF($A141="","",IF($K141="Concluído","Sim","Não"))</f>
        <v/>
      </c>
      <c r="P141" s="40" t="str">
        <f aca="true">IF($A141="","",IF($K141="Stand-by","Stand-by",IF($K141="Concluído","Concluída",IF(AND($M141&lt;&gt;"",$M141&lt;TODAY()),"Atrasada","Em dia"))))</f>
        <v/>
      </c>
      <c r="Q141" s="40" t="str">
        <f aca="false">IF($A141="","",IF(LEN(IF($J141="","título, ","")&amp;IF($C141="","responsável, ","")&amp;IF($D141="","tipo, ","")&amp;IF($I141="","canal, ","")&amp;IF($H141="","município, ","")&amp;IF(AND($U141="Sim",$E141=""),"empresa, ","")&amp;IF(AND($U141="Sim",$F141=""),"editor, ","")&amp;IF(AND($K141="Concluído",$N141=""),"data de conclusão, ","")&amp;IF(AND($K141="Concluído",$R141=""),"link, ","")&amp;IF(AND($K141="Concluído",$L141=""),"quem liberou, ",""))=0,"OK","Falta "&amp;LEFT(IF($J141="","título, ","")&amp;IF($C141="","responsável, ","")&amp;IF($D141="","tipo, ","")&amp;IF($I141="","canal, ","")&amp;IF($H141="","município, ","")&amp;IF(AND($U141="Sim",$E141=""),"empresa, ","")&amp;IF(AND($U141="Sim",$F141=""),"editor, ","")&amp;IF(AND($K141="Concluído",$N141=""),"data de conclusão, ","")&amp;IF(AND($K141="Concluído",$R141=""),"link, ","")&amp;IF(AND($K141="Concluído",$L141=""),"quem liberou, ",""),LEN(IF($J141="","título, ","")&amp;IF($C141="","responsável, ","")&amp;IF($D141="","tipo, ","")&amp;IF($I141="","canal, ","")&amp;IF($H141="","município, ","")&amp;IF(AND($U141="Sim",$E141=""),"empresa, ","")&amp;IF(AND($U141="Sim",$F141=""),"editor, ","")&amp;IF(AND($K141="Concluído",$N141=""),"data de conclusão, ","")&amp;IF(AND($K141="Concluído",$R141=""),"link, ","")&amp;IF(AND($K141="Concluído",$L141=""),"quem liberou, ",""))-2)))</f>
        <v/>
      </c>
      <c r="R141" s="38"/>
      <c r="S141" s="38"/>
      <c r="T141" s="38"/>
      <c r="U141" s="40" t="str">
        <f aca="false">IF($A141="","",IFERROR(INDEX(Listas!$E$5:$E$64,MATCH($D141,Listas!$C$5:$C$64,0)),"Não"))</f>
        <v/>
      </c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9" t="str">
        <f aca="false">IF(OR($A142="",$D142=""),"",$A142+IFERROR(INDEX(Listas!$D$5:$D$64,MATCH($D142,Listas!$C$5:$C$64,0)),3))</f>
        <v/>
      </c>
      <c r="N142" s="37"/>
      <c r="O142" s="40" t="str">
        <f aca="false">IF($A142="","",IF($K142="Concluído","Sim","Não"))</f>
        <v/>
      </c>
      <c r="P142" s="40" t="str">
        <f aca="true">IF($A142="","",IF($K142="Stand-by","Stand-by",IF($K142="Concluído","Concluída",IF(AND($M142&lt;&gt;"",$M142&lt;TODAY()),"Atrasada","Em dia"))))</f>
        <v/>
      </c>
      <c r="Q142" s="40" t="str">
        <f aca="false">IF($A142="","",IF(LEN(IF($J142="","título, ","")&amp;IF($C142="","responsável, ","")&amp;IF($D142="","tipo, ","")&amp;IF($I142="","canal, ","")&amp;IF($H142="","município, ","")&amp;IF(AND($U142="Sim",$E142=""),"empresa, ","")&amp;IF(AND($U142="Sim",$F142=""),"editor, ","")&amp;IF(AND($K142="Concluído",$N142=""),"data de conclusão, ","")&amp;IF(AND($K142="Concluído",$R142=""),"link, ","")&amp;IF(AND($K142="Concluído",$L142=""),"quem liberou, ",""))=0,"OK","Falta "&amp;LEFT(IF($J142="","título, ","")&amp;IF($C142="","responsável, ","")&amp;IF($D142="","tipo, ","")&amp;IF($I142="","canal, ","")&amp;IF($H142="","município, ","")&amp;IF(AND($U142="Sim",$E142=""),"empresa, ","")&amp;IF(AND($U142="Sim",$F142=""),"editor, ","")&amp;IF(AND($K142="Concluído",$N142=""),"data de conclusão, ","")&amp;IF(AND($K142="Concluído",$R142=""),"link, ","")&amp;IF(AND($K142="Concluído",$L142=""),"quem liberou, ",""),LEN(IF($J142="","título, ","")&amp;IF($C142="","responsável, ","")&amp;IF($D142="","tipo, ","")&amp;IF($I142="","canal, ","")&amp;IF($H142="","município, ","")&amp;IF(AND($U142="Sim",$E142=""),"empresa, ","")&amp;IF(AND($U142="Sim",$F142=""),"editor, ","")&amp;IF(AND($K142="Concluído",$N142=""),"data de conclusão, ","")&amp;IF(AND($K142="Concluído",$R142=""),"link, ","")&amp;IF(AND($K142="Concluído",$L142=""),"quem liberou, ",""))-2)))</f>
        <v/>
      </c>
      <c r="R142" s="38"/>
      <c r="S142" s="38"/>
      <c r="T142" s="38"/>
      <c r="U142" s="40" t="str">
        <f aca="false">IF($A142="","",IFERROR(INDEX(Listas!$E$5:$E$64,MATCH($D142,Listas!$C$5:$C$64,0)),"Não"))</f>
        <v/>
      </c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9" t="str">
        <f aca="false">IF(OR($A143="",$D143=""),"",$A143+IFERROR(INDEX(Listas!$D$5:$D$64,MATCH($D143,Listas!$C$5:$C$64,0)),3))</f>
        <v/>
      </c>
      <c r="N143" s="37"/>
      <c r="O143" s="40" t="str">
        <f aca="false">IF($A143="","",IF($K143="Concluído","Sim","Não"))</f>
        <v/>
      </c>
      <c r="P143" s="40" t="str">
        <f aca="true">IF($A143="","",IF($K143="Stand-by","Stand-by",IF($K143="Concluído","Concluída",IF(AND($M143&lt;&gt;"",$M143&lt;TODAY()),"Atrasada","Em dia"))))</f>
        <v/>
      </c>
      <c r="Q143" s="40" t="str">
        <f aca="false">IF($A143="","",IF(LEN(IF($J143="","título, ","")&amp;IF($C143="","responsável, ","")&amp;IF($D143="","tipo, ","")&amp;IF($I143="","canal, ","")&amp;IF($H143="","município, ","")&amp;IF(AND($U143="Sim",$E143=""),"empresa, ","")&amp;IF(AND($U143="Sim",$F143=""),"editor, ","")&amp;IF(AND($K143="Concluído",$N143=""),"data de conclusão, ","")&amp;IF(AND($K143="Concluído",$R143=""),"link, ","")&amp;IF(AND($K143="Concluído",$L143=""),"quem liberou, ",""))=0,"OK","Falta "&amp;LEFT(IF($J143="","título, ","")&amp;IF($C143="","responsável, ","")&amp;IF($D143="","tipo, ","")&amp;IF($I143="","canal, ","")&amp;IF($H143="","município, ","")&amp;IF(AND($U143="Sim",$E143=""),"empresa, ","")&amp;IF(AND($U143="Sim",$F143=""),"editor, ","")&amp;IF(AND($K143="Concluído",$N143=""),"data de conclusão, ","")&amp;IF(AND($K143="Concluído",$R143=""),"link, ","")&amp;IF(AND($K143="Concluído",$L143=""),"quem liberou, ",""),LEN(IF($J143="","título, ","")&amp;IF($C143="","responsável, ","")&amp;IF($D143="","tipo, ","")&amp;IF($I143="","canal, ","")&amp;IF($H143="","município, ","")&amp;IF(AND($U143="Sim",$E143=""),"empresa, ","")&amp;IF(AND($U143="Sim",$F143=""),"editor, ","")&amp;IF(AND($K143="Concluído",$N143=""),"data de conclusão, ","")&amp;IF(AND($K143="Concluído",$R143=""),"link, ","")&amp;IF(AND($K143="Concluído",$L143=""),"quem liberou, ",""))-2)))</f>
        <v/>
      </c>
      <c r="R143" s="38"/>
      <c r="S143" s="38"/>
      <c r="T143" s="38"/>
      <c r="U143" s="40" t="str">
        <f aca="false">IF($A143="","",IFERROR(INDEX(Listas!$E$5:$E$64,MATCH($D143,Listas!$C$5:$C$64,0)),"Não"))</f>
        <v/>
      </c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9" t="str">
        <f aca="false">IF(OR($A144="",$D144=""),"",$A144+IFERROR(INDEX(Listas!$D$5:$D$64,MATCH($D144,Listas!$C$5:$C$64,0)),3))</f>
        <v/>
      </c>
      <c r="N144" s="37"/>
      <c r="O144" s="40" t="str">
        <f aca="false">IF($A144="","",IF($K144="Concluído","Sim","Não"))</f>
        <v/>
      </c>
      <c r="P144" s="40" t="str">
        <f aca="true">IF($A144="","",IF($K144="Stand-by","Stand-by",IF($K144="Concluído","Concluída",IF(AND($M144&lt;&gt;"",$M144&lt;TODAY()),"Atrasada","Em dia"))))</f>
        <v/>
      </c>
      <c r="Q144" s="40" t="str">
        <f aca="false">IF($A144="","",IF(LEN(IF($J144="","título, ","")&amp;IF($C144="","responsável, ","")&amp;IF($D144="","tipo, ","")&amp;IF($I144="","canal, ","")&amp;IF($H144="","município, ","")&amp;IF(AND($U144="Sim",$E144=""),"empresa, ","")&amp;IF(AND($U144="Sim",$F144=""),"editor, ","")&amp;IF(AND($K144="Concluído",$N144=""),"data de conclusão, ","")&amp;IF(AND($K144="Concluído",$R144=""),"link, ","")&amp;IF(AND($K144="Concluído",$L144=""),"quem liberou, ",""))=0,"OK","Falta "&amp;LEFT(IF($J144="","título, ","")&amp;IF($C144="","responsável, ","")&amp;IF($D144="","tipo, ","")&amp;IF($I144="","canal, ","")&amp;IF($H144="","município, ","")&amp;IF(AND($U144="Sim",$E144=""),"empresa, ","")&amp;IF(AND($U144="Sim",$F144=""),"editor, ","")&amp;IF(AND($K144="Concluído",$N144=""),"data de conclusão, ","")&amp;IF(AND($K144="Concluído",$R144=""),"link, ","")&amp;IF(AND($K144="Concluído",$L144=""),"quem liberou, ",""),LEN(IF($J144="","título, ","")&amp;IF($C144="","responsável, ","")&amp;IF($D144="","tipo, ","")&amp;IF($I144="","canal, ","")&amp;IF($H144="","município, ","")&amp;IF(AND($U144="Sim",$E144=""),"empresa, ","")&amp;IF(AND($U144="Sim",$F144=""),"editor, ","")&amp;IF(AND($K144="Concluído",$N144=""),"data de conclusão, ","")&amp;IF(AND($K144="Concluído",$R144=""),"link, ","")&amp;IF(AND($K144="Concluído",$L144=""),"quem liberou, ",""))-2)))</f>
        <v/>
      </c>
      <c r="R144" s="38"/>
      <c r="S144" s="38"/>
      <c r="T144" s="38"/>
      <c r="U144" s="40" t="str">
        <f aca="false">IF($A144="","",IFERROR(INDEX(Listas!$E$5:$E$64,MATCH($D144,Listas!$C$5:$C$64,0)),"Não"))</f>
        <v/>
      </c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9" t="str">
        <f aca="false">IF(OR($A145="",$D145=""),"",$A145+IFERROR(INDEX(Listas!$D$5:$D$64,MATCH($D145,Listas!$C$5:$C$64,0)),3))</f>
        <v/>
      </c>
      <c r="N145" s="37"/>
      <c r="O145" s="40" t="str">
        <f aca="false">IF($A145="","",IF($K145="Concluído","Sim","Não"))</f>
        <v/>
      </c>
      <c r="P145" s="40" t="str">
        <f aca="true">IF($A145="","",IF($K145="Stand-by","Stand-by",IF($K145="Concluído","Concluída",IF(AND($M145&lt;&gt;"",$M145&lt;TODAY()),"Atrasada","Em dia"))))</f>
        <v/>
      </c>
      <c r="Q145" s="40" t="str">
        <f aca="false">IF($A145="","",IF(LEN(IF($J145="","título, ","")&amp;IF($C145="","responsável, ","")&amp;IF($D145="","tipo, ","")&amp;IF($I145="","canal, ","")&amp;IF($H145="","município, ","")&amp;IF(AND($U145="Sim",$E145=""),"empresa, ","")&amp;IF(AND($U145="Sim",$F145=""),"editor, ","")&amp;IF(AND($K145="Concluído",$N145=""),"data de conclusão, ","")&amp;IF(AND($K145="Concluído",$R145=""),"link, ","")&amp;IF(AND($K145="Concluído",$L145=""),"quem liberou, ",""))=0,"OK","Falta "&amp;LEFT(IF($J145="","título, ","")&amp;IF($C145="","responsável, ","")&amp;IF($D145="","tipo, ","")&amp;IF($I145="","canal, ","")&amp;IF($H145="","município, ","")&amp;IF(AND($U145="Sim",$E145=""),"empresa, ","")&amp;IF(AND($U145="Sim",$F145=""),"editor, ","")&amp;IF(AND($K145="Concluído",$N145=""),"data de conclusão, ","")&amp;IF(AND($K145="Concluído",$R145=""),"link, ","")&amp;IF(AND($K145="Concluído",$L145=""),"quem liberou, ",""),LEN(IF($J145="","título, ","")&amp;IF($C145="","responsável, ","")&amp;IF($D145="","tipo, ","")&amp;IF($I145="","canal, ","")&amp;IF($H145="","município, ","")&amp;IF(AND($U145="Sim",$E145=""),"empresa, ","")&amp;IF(AND($U145="Sim",$F145=""),"editor, ","")&amp;IF(AND($K145="Concluído",$N145=""),"data de conclusão, ","")&amp;IF(AND($K145="Concluído",$R145=""),"link, ","")&amp;IF(AND($K145="Concluído",$L145=""),"quem liberou, ",""))-2)))</f>
        <v/>
      </c>
      <c r="R145" s="38"/>
      <c r="S145" s="38"/>
      <c r="T145" s="38"/>
      <c r="U145" s="40" t="str">
        <f aca="false">IF($A145="","",IFERROR(INDEX(Listas!$E$5:$E$64,MATCH($D145,Listas!$C$5:$C$64,0)),"Não"))</f>
        <v/>
      </c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9" t="str">
        <f aca="false">IF(OR($A146="",$D146=""),"",$A146+IFERROR(INDEX(Listas!$D$5:$D$64,MATCH($D146,Listas!$C$5:$C$64,0)),3))</f>
        <v/>
      </c>
      <c r="N146" s="37"/>
      <c r="O146" s="40" t="str">
        <f aca="false">IF($A146="","",IF($K146="Concluído","Sim","Não"))</f>
        <v/>
      </c>
      <c r="P146" s="40" t="str">
        <f aca="true">IF($A146="","",IF($K146="Stand-by","Stand-by",IF($K146="Concluído","Concluída",IF(AND($M146&lt;&gt;"",$M146&lt;TODAY()),"Atrasada","Em dia"))))</f>
        <v/>
      </c>
      <c r="Q146" s="40" t="str">
        <f aca="false">IF($A146="","",IF(LEN(IF($J146="","título, ","")&amp;IF($C146="","responsável, ","")&amp;IF($D146="","tipo, ","")&amp;IF($I146="","canal, ","")&amp;IF($H146="","município, ","")&amp;IF(AND($U146="Sim",$E146=""),"empresa, ","")&amp;IF(AND($U146="Sim",$F146=""),"editor, ","")&amp;IF(AND($K146="Concluído",$N146=""),"data de conclusão, ","")&amp;IF(AND($K146="Concluído",$R146=""),"link, ","")&amp;IF(AND($K146="Concluído",$L146=""),"quem liberou, ",""))=0,"OK","Falta "&amp;LEFT(IF($J146="","título, ","")&amp;IF($C146="","responsável, ","")&amp;IF($D146="","tipo, ","")&amp;IF($I146="","canal, ","")&amp;IF($H146="","município, ","")&amp;IF(AND($U146="Sim",$E146=""),"empresa, ","")&amp;IF(AND($U146="Sim",$F146=""),"editor, ","")&amp;IF(AND($K146="Concluído",$N146=""),"data de conclusão, ","")&amp;IF(AND($K146="Concluído",$R146=""),"link, ","")&amp;IF(AND($K146="Concluído",$L146=""),"quem liberou, ",""),LEN(IF($J146="","título, ","")&amp;IF($C146="","responsável, ","")&amp;IF($D146="","tipo, ","")&amp;IF($I146="","canal, ","")&amp;IF($H146="","município, ","")&amp;IF(AND($U146="Sim",$E146=""),"empresa, ","")&amp;IF(AND($U146="Sim",$F146=""),"editor, ","")&amp;IF(AND($K146="Concluído",$N146=""),"data de conclusão, ","")&amp;IF(AND($K146="Concluído",$R146=""),"link, ","")&amp;IF(AND($K146="Concluído",$L146=""),"quem liberou, ",""))-2)))</f>
        <v/>
      </c>
      <c r="R146" s="38"/>
      <c r="S146" s="38"/>
      <c r="T146" s="38"/>
      <c r="U146" s="40" t="str">
        <f aca="false">IF($A146="","",IFERROR(INDEX(Listas!$E$5:$E$64,MATCH($D146,Listas!$C$5:$C$64,0)),"Não"))</f>
        <v/>
      </c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9" t="str">
        <f aca="false">IF(OR($A147="",$D147=""),"",$A147+IFERROR(INDEX(Listas!$D$5:$D$64,MATCH($D147,Listas!$C$5:$C$64,0)),3))</f>
        <v/>
      </c>
      <c r="N147" s="37"/>
      <c r="O147" s="40" t="str">
        <f aca="false">IF($A147="","",IF($K147="Concluído","Sim","Não"))</f>
        <v/>
      </c>
      <c r="P147" s="40" t="str">
        <f aca="true">IF($A147="","",IF($K147="Stand-by","Stand-by",IF($K147="Concluído","Concluída",IF(AND($M147&lt;&gt;"",$M147&lt;TODAY()),"Atrasada","Em dia"))))</f>
        <v/>
      </c>
      <c r="Q147" s="40" t="str">
        <f aca="false">IF($A147="","",IF(LEN(IF($J147="","título, ","")&amp;IF($C147="","responsável, ","")&amp;IF($D147="","tipo, ","")&amp;IF($I147="","canal, ","")&amp;IF($H147="","município, ","")&amp;IF(AND($U147="Sim",$E147=""),"empresa, ","")&amp;IF(AND($U147="Sim",$F147=""),"editor, ","")&amp;IF(AND($K147="Concluído",$N147=""),"data de conclusão, ","")&amp;IF(AND($K147="Concluído",$R147=""),"link, ","")&amp;IF(AND($K147="Concluído",$L147=""),"quem liberou, ",""))=0,"OK","Falta "&amp;LEFT(IF($J147="","título, ","")&amp;IF($C147="","responsável, ","")&amp;IF($D147="","tipo, ","")&amp;IF($I147="","canal, ","")&amp;IF($H147="","município, ","")&amp;IF(AND($U147="Sim",$E147=""),"empresa, ","")&amp;IF(AND($U147="Sim",$F147=""),"editor, ","")&amp;IF(AND($K147="Concluído",$N147=""),"data de conclusão, ","")&amp;IF(AND($K147="Concluído",$R147=""),"link, ","")&amp;IF(AND($K147="Concluído",$L147=""),"quem liberou, ",""),LEN(IF($J147="","título, ","")&amp;IF($C147="","responsável, ","")&amp;IF($D147="","tipo, ","")&amp;IF($I147="","canal, ","")&amp;IF($H147="","município, ","")&amp;IF(AND($U147="Sim",$E147=""),"empresa, ","")&amp;IF(AND($U147="Sim",$F147=""),"editor, ","")&amp;IF(AND($K147="Concluído",$N147=""),"data de conclusão, ","")&amp;IF(AND($K147="Concluído",$R147=""),"link, ","")&amp;IF(AND($K147="Concluído",$L147=""),"quem liberou, ",""))-2)))</f>
        <v/>
      </c>
      <c r="R147" s="38"/>
      <c r="S147" s="38"/>
      <c r="T147" s="38"/>
      <c r="U147" s="40" t="str">
        <f aca="false">IF($A147="","",IFERROR(INDEX(Listas!$E$5:$E$64,MATCH($D147,Listas!$C$5:$C$64,0)),"Não"))</f>
        <v/>
      </c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9" t="str">
        <f aca="false">IF(OR($A148="",$D148=""),"",$A148+IFERROR(INDEX(Listas!$D$5:$D$64,MATCH($D148,Listas!$C$5:$C$64,0)),3))</f>
        <v/>
      </c>
      <c r="N148" s="37"/>
      <c r="O148" s="40" t="str">
        <f aca="false">IF($A148="","",IF($K148="Concluído","Sim","Não"))</f>
        <v/>
      </c>
      <c r="P148" s="40" t="str">
        <f aca="true">IF($A148="","",IF($K148="Stand-by","Stand-by",IF($K148="Concluído","Concluída",IF(AND($M148&lt;&gt;"",$M148&lt;TODAY()),"Atrasada","Em dia"))))</f>
        <v/>
      </c>
      <c r="Q148" s="40" t="str">
        <f aca="false">IF($A148="","",IF(LEN(IF($J148="","título, ","")&amp;IF($C148="","responsável, ","")&amp;IF($D148="","tipo, ","")&amp;IF($I148="","canal, ","")&amp;IF($H148="","município, ","")&amp;IF(AND($U148="Sim",$E148=""),"empresa, ","")&amp;IF(AND($U148="Sim",$F148=""),"editor, ","")&amp;IF(AND($K148="Concluído",$N148=""),"data de conclusão, ","")&amp;IF(AND($K148="Concluído",$R148=""),"link, ","")&amp;IF(AND($K148="Concluído",$L148=""),"quem liberou, ",""))=0,"OK","Falta "&amp;LEFT(IF($J148="","título, ","")&amp;IF($C148="","responsável, ","")&amp;IF($D148="","tipo, ","")&amp;IF($I148="","canal, ","")&amp;IF($H148="","município, ","")&amp;IF(AND($U148="Sim",$E148=""),"empresa, ","")&amp;IF(AND($U148="Sim",$F148=""),"editor, ","")&amp;IF(AND($K148="Concluído",$N148=""),"data de conclusão, ","")&amp;IF(AND($K148="Concluído",$R148=""),"link, ","")&amp;IF(AND($K148="Concluído",$L148=""),"quem liberou, ",""),LEN(IF($J148="","título, ","")&amp;IF($C148="","responsável, ","")&amp;IF($D148="","tipo, ","")&amp;IF($I148="","canal, ","")&amp;IF($H148="","município, ","")&amp;IF(AND($U148="Sim",$E148=""),"empresa, ","")&amp;IF(AND($U148="Sim",$F148=""),"editor, ","")&amp;IF(AND($K148="Concluído",$N148=""),"data de conclusão, ","")&amp;IF(AND($K148="Concluído",$R148=""),"link, ","")&amp;IF(AND($K148="Concluído",$L148=""),"quem liberou, ",""))-2)))</f>
        <v/>
      </c>
      <c r="R148" s="38"/>
      <c r="S148" s="38"/>
      <c r="T148" s="38"/>
      <c r="U148" s="40" t="str">
        <f aca="false">IF($A148="","",IFERROR(INDEX(Listas!$E$5:$E$64,MATCH($D148,Listas!$C$5:$C$64,0)),"Não"))</f>
        <v/>
      </c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9" t="str">
        <f aca="false">IF(OR($A149="",$D149=""),"",$A149+IFERROR(INDEX(Listas!$D$5:$D$64,MATCH($D149,Listas!$C$5:$C$64,0)),3))</f>
        <v/>
      </c>
      <c r="N149" s="37"/>
      <c r="O149" s="40" t="str">
        <f aca="false">IF($A149="","",IF($K149="Concluído","Sim","Não"))</f>
        <v/>
      </c>
      <c r="P149" s="40" t="str">
        <f aca="true">IF($A149="","",IF($K149="Stand-by","Stand-by",IF($K149="Concluído","Concluída",IF(AND($M149&lt;&gt;"",$M149&lt;TODAY()),"Atrasada","Em dia"))))</f>
        <v/>
      </c>
      <c r="Q149" s="40" t="str">
        <f aca="false">IF($A149="","",IF(LEN(IF($J149="","título, ","")&amp;IF($C149="","responsável, ","")&amp;IF($D149="","tipo, ","")&amp;IF($I149="","canal, ","")&amp;IF($H149="","município, ","")&amp;IF(AND($U149="Sim",$E149=""),"empresa, ","")&amp;IF(AND($U149="Sim",$F149=""),"editor, ","")&amp;IF(AND($K149="Concluído",$N149=""),"data de conclusão, ","")&amp;IF(AND($K149="Concluído",$R149=""),"link, ","")&amp;IF(AND($K149="Concluído",$L149=""),"quem liberou, ",""))=0,"OK","Falta "&amp;LEFT(IF($J149="","título, ","")&amp;IF($C149="","responsável, ","")&amp;IF($D149="","tipo, ","")&amp;IF($I149="","canal, ","")&amp;IF($H149="","município, ","")&amp;IF(AND($U149="Sim",$E149=""),"empresa, ","")&amp;IF(AND($U149="Sim",$F149=""),"editor, ","")&amp;IF(AND($K149="Concluído",$N149=""),"data de conclusão, ","")&amp;IF(AND($K149="Concluído",$R149=""),"link, ","")&amp;IF(AND($K149="Concluído",$L149=""),"quem liberou, ",""),LEN(IF($J149="","título, ","")&amp;IF($C149="","responsável, ","")&amp;IF($D149="","tipo, ","")&amp;IF($I149="","canal, ","")&amp;IF($H149="","município, ","")&amp;IF(AND($U149="Sim",$E149=""),"empresa, ","")&amp;IF(AND($U149="Sim",$F149=""),"editor, ","")&amp;IF(AND($K149="Concluído",$N149=""),"data de conclusão, ","")&amp;IF(AND($K149="Concluído",$R149=""),"link, ","")&amp;IF(AND($K149="Concluído",$L149=""),"quem liberou, ",""))-2)))</f>
        <v/>
      </c>
      <c r="R149" s="38"/>
      <c r="S149" s="38"/>
      <c r="T149" s="38"/>
      <c r="U149" s="40" t="str">
        <f aca="false">IF($A149="","",IFERROR(INDEX(Listas!$E$5:$E$64,MATCH($D149,Listas!$C$5:$C$64,0)),"Não"))</f>
        <v/>
      </c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9" t="str">
        <f aca="false">IF(OR($A150="",$D150=""),"",$A150+IFERROR(INDEX(Listas!$D$5:$D$64,MATCH($D150,Listas!$C$5:$C$64,0)),3))</f>
        <v/>
      </c>
      <c r="N150" s="37"/>
      <c r="O150" s="40" t="str">
        <f aca="false">IF($A150="","",IF($K150="Concluído","Sim","Não"))</f>
        <v/>
      </c>
      <c r="P150" s="40" t="str">
        <f aca="true">IF($A150="","",IF($K150="Stand-by","Stand-by",IF($K150="Concluído","Concluída",IF(AND($M150&lt;&gt;"",$M150&lt;TODAY()),"Atrasada","Em dia"))))</f>
        <v/>
      </c>
      <c r="Q150" s="40" t="str">
        <f aca="false">IF($A150="","",IF(LEN(IF($J150="","título, ","")&amp;IF($C150="","responsável, ","")&amp;IF($D150="","tipo, ","")&amp;IF($I150="","canal, ","")&amp;IF($H150="","município, ","")&amp;IF(AND($U150="Sim",$E150=""),"empresa, ","")&amp;IF(AND($U150="Sim",$F150=""),"editor, ","")&amp;IF(AND($K150="Concluído",$N150=""),"data de conclusão, ","")&amp;IF(AND($K150="Concluído",$R150=""),"link, ","")&amp;IF(AND($K150="Concluído",$L150=""),"quem liberou, ",""))=0,"OK","Falta "&amp;LEFT(IF($J150="","título, ","")&amp;IF($C150="","responsável, ","")&amp;IF($D150="","tipo, ","")&amp;IF($I150="","canal, ","")&amp;IF($H150="","município, ","")&amp;IF(AND($U150="Sim",$E150=""),"empresa, ","")&amp;IF(AND($U150="Sim",$F150=""),"editor, ","")&amp;IF(AND($K150="Concluído",$N150=""),"data de conclusão, ","")&amp;IF(AND($K150="Concluído",$R150=""),"link, ","")&amp;IF(AND($K150="Concluído",$L150=""),"quem liberou, ",""),LEN(IF($J150="","título, ","")&amp;IF($C150="","responsável, ","")&amp;IF($D150="","tipo, ","")&amp;IF($I150="","canal, ","")&amp;IF($H150="","município, ","")&amp;IF(AND($U150="Sim",$E150=""),"empresa, ","")&amp;IF(AND($U150="Sim",$F150=""),"editor, ","")&amp;IF(AND($K150="Concluído",$N150=""),"data de conclusão, ","")&amp;IF(AND($K150="Concluído",$R150=""),"link, ","")&amp;IF(AND($K150="Concluído",$L150=""),"quem liberou, ",""))-2)))</f>
        <v/>
      </c>
      <c r="R150" s="38"/>
      <c r="S150" s="38"/>
      <c r="T150" s="38"/>
      <c r="U150" s="40" t="str">
        <f aca="false">IF($A150="","",IFERROR(INDEX(Listas!$E$5:$E$64,MATCH($D150,Listas!$C$5:$C$64,0)),"Não"))</f>
        <v/>
      </c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9" t="str">
        <f aca="false">IF(OR($A151="",$D151=""),"",$A151+IFERROR(INDEX(Listas!$D$5:$D$64,MATCH($D151,Listas!$C$5:$C$64,0)),3))</f>
        <v/>
      </c>
      <c r="N151" s="37"/>
      <c r="O151" s="40" t="str">
        <f aca="false">IF($A151="","",IF($K151="Concluído","Sim","Não"))</f>
        <v/>
      </c>
      <c r="P151" s="40" t="str">
        <f aca="true">IF($A151="","",IF($K151="Stand-by","Stand-by",IF($K151="Concluído","Concluída",IF(AND($M151&lt;&gt;"",$M151&lt;TODAY()),"Atrasada","Em dia"))))</f>
        <v/>
      </c>
      <c r="Q151" s="40" t="str">
        <f aca="false">IF($A151="","",IF(LEN(IF($J151="","título, ","")&amp;IF($C151="","responsável, ","")&amp;IF($D151="","tipo, ","")&amp;IF($I151="","canal, ","")&amp;IF($H151="","município, ","")&amp;IF(AND($U151="Sim",$E151=""),"empresa, ","")&amp;IF(AND($U151="Sim",$F151=""),"editor, ","")&amp;IF(AND($K151="Concluído",$N151=""),"data de conclusão, ","")&amp;IF(AND($K151="Concluído",$R151=""),"link, ","")&amp;IF(AND($K151="Concluído",$L151=""),"quem liberou, ",""))=0,"OK","Falta "&amp;LEFT(IF($J151="","título, ","")&amp;IF($C151="","responsável, ","")&amp;IF($D151="","tipo, ","")&amp;IF($I151="","canal, ","")&amp;IF($H151="","município, ","")&amp;IF(AND($U151="Sim",$E151=""),"empresa, ","")&amp;IF(AND($U151="Sim",$F151=""),"editor, ","")&amp;IF(AND($K151="Concluído",$N151=""),"data de conclusão, ","")&amp;IF(AND($K151="Concluído",$R151=""),"link, ","")&amp;IF(AND($K151="Concluído",$L151=""),"quem liberou, ",""),LEN(IF($J151="","título, ","")&amp;IF($C151="","responsável, ","")&amp;IF($D151="","tipo, ","")&amp;IF($I151="","canal, ","")&amp;IF($H151="","município, ","")&amp;IF(AND($U151="Sim",$E151=""),"empresa, ","")&amp;IF(AND($U151="Sim",$F151=""),"editor, ","")&amp;IF(AND($K151="Concluído",$N151=""),"data de conclusão, ","")&amp;IF(AND($K151="Concluído",$R151=""),"link, ","")&amp;IF(AND($K151="Concluído",$L151=""),"quem liberou, ",""))-2)))</f>
        <v/>
      </c>
      <c r="R151" s="38"/>
      <c r="S151" s="38"/>
      <c r="T151" s="38"/>
      <c r="U151" s="40" t="str">
        <f aca="false">IF($A151="","",IFERROR(INDEX(Listas!$E$5:$E$64,MATCH($D151,Listas!$C$5:$C$64,0)),"Não"))</f>
        <v/>
      </c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9" t="str">
        <f aca="false">IF(OR($A152="",$D152=""),"",$A152+IFERROR(INDEX(Listas!$D$5:$D$64,MATCH($D152,Listas!$C$5:$C$64,0)),3))</f>
        <v/>
      </c>
      <c r="N152" s="37"/>
      <c r="O152" s="40" t="str">
        <f aca="false">IF($A152="","",IF($K152="Concluído","Sim","Não"))</f>
        <v/>
      </c>
      <c r="P152" s="40" t="str">
        <f aca="true">IF($A152="","",IF($K152="Stand-by","Stand-by",IF($K152="Concluído","Concluída",IF(AND($M152&lt;&gt;"",$M152&lt;TODAY()),"Atrasada","Em dia"))))</f>
        <v/>
      </c>
      <c r="Q152" s="40" t="str">
        <f aca="false">IF($A152="","",IF(LEN(IF($J152="","título, ","")&amp;IF($C152="","responsável, ","")&amp;IF($D152="","tipo, ","")&amp;IF($I152="","canal, ","")&amp;IF($H152="","município, ","")&amp;IF(AND($U152="Sim",$E152=""),"empresa, ","")&amp;IF(AND($U152="Sim",$F152=""),"editor, ","")&amp;IF(AND($K152="Concluído",$N152=""),"data de conclusão, ","")&amp;IF(AND($K152="Concluído",$R152=""),"link, ","")&amp;IF(AND($K152="Concluído",$L152=""),"quem liberou, ",""))=0,"OK","Falta "&amp;LEFT(IF($J152="","título, ","")&amp;IF($C152="","responsável, ","")&amp;IF($D152="","tipo, ","")&amp;IF($I152="","canal, ","")&amp;IF($H152="","município, ","")&amp;IF(AND($U152="Sim",$E152=""),"empresa, ","")&amp;IF(AND($U152="Sim",$F152=""),"editor, ","")&amp;IF(AND($K152="Concluído",$N152=""),"data de conclusão, ","")&amp;IF(AND($K152="Concluído",$R152=""),"link, ","")&amp;IF(AND($K152="Concluído",$L152=""),"quem liberou, ",""),LEN(IF($J152="","título, ","")&amp;IF($C152="","responsável, ","")&amp;IF($D152="","tipo, ","")&amp;IF($I152="","canal, ","")&amp;IF($H152="","município, ","")&amp;IF(AND($U152="Sim",$E152=""),"empresa, ","")&amp;IF(AND($U152="Sim",$F152=""),"editor, ","")&amp;IF(AND($K152="Concluído",$N152=""),"data de conclusão, ","")&amp;IF(AND($K152="Concluído",$R152=""),"link, ","")&amp;IF(AND($K152="Concluído",$L152=""),"quem liberou, ",""))-2)))</f>
        <v/>
      </c>
      <c r="R152" s="38"/>
      <c r="S152" s="38"/>
      <c r="T152" s="38"/>
      <c r="U152" s="40" t="str">
        <f aca="false">IF($A152="","",IFERROR(INDEX(Listas!$E$5:$E$64,MATCH($D152,Listas!$C$5:$C$64,0)),"Não"))</f>
        <v/>
      </c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9" t="str">
        <f aca="false">IF(OR($A153="",$D153=""),"",$A153+IFERROR(INDEX(Listas!$D$5:$D$64,MATCH($D153,Listas!$C$5:$C$64,0)),3))</f>
        <v/>
      </c>
      <c r="N153" s="37"/>
      <c r="O153" s="40" t="str">
        <f aca="false">IF($A153="","",IF($K153="Concluído","Sim","Não"))</f>
        <v/>
      </c>
      <c r="P153" s="40" t="str">
        <f aca="true">IF($A153="","",IF($K153="Stand-by","Stand-by",IF($K153="Concluído","Concluída",IF(AND($M153&lt;&gt;"",$M153&lt;TODAY()),"Atrasada","Em dia"))))</f>
        <v/>
      </c>
      <c r="Q153" s="40" t="str">
        <f aca="false">IF($A153="","",IF(LEN(IF($J153="","título, ","")&amp;IF($C153="","responsável, ","")&amp;IF($D153="","tipo, ","")&amp;IF($I153="","canal, ","")&amp;IF($H153="","município, ","")&amp;IF(AND($U153="Sim",$E153=""),"empresa, ","")&amp;IF(AND($U153="Sim",$F153=""),"editor, ","")&amp;IF(AND($K153="Concluído",$N153=""),"data de conclusão, ","")&amp;IF(AND($K153="Concluído",$R153=""),"link, ","")&amp;IF(AND($K153="Concluído",$L153=""),"quem liberou, ",""))=0,"OK","Falta "&amp;LEFT(IF($J153="","título, ","")&amp;IF($C153="","responsável, ","")&amp;IF($D153="","tipo, ","")&amp;IF($I153="","canal, ","")&amp;IF($H153="","município, ","")&amp;IF(AND($U153="Sim",$E153=""),"empresa, ","")&amp;IF(AND($U153="Sim",$F153=""),"editor, ","")&amp;IF(AND($K153="Concluído",$N153=""),"data de conclusão, ","")&amp;IF(AND($K153="Concluído",$R153=""),"link, ","")&amp;IF(AND($K153="Concluído",$L153=""),"quem liberou, ",""),LEN(IF($J153="","título, ","")&amp;IF($C153="","responsável, ","")&amp;IF($D153="","tipo, ","")&amp;IF($I153="","canal, ","")&amp;IF($H153="","município, ","")&amp;IF(AND($U153="Sim",$E153=""),"empresa, ","")&amp;IF(AND($U153="Sim",$F153=""),"editor, ","")&amp;IF(AND($K153="Concluído",$N153=""),"data de conclusão, ","")&amp;IF(AND($K153="Concluído",$R153=""),"link, ","")&amp;IF(AND($K153="Concluído",$L153=""),"quem liberou, ",""))-2)))</f>
        <v/>
      </c>
      <c r="R153" s="38"/>
      <c r="S153" s="38"/>
      <c r="T153" s="38"/>
      <c r="U153" s="40" t="str">
        <f aca="false">IF($A153="","",IFERROR(INDEX(Listas!$E$5:$E$64,MATCH($D153,Listas!$C$5:$C$64,0)),"Não"))</f>
        <v/>
      </c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9" t="str">
        <f aca="false">IF(OR($A154="",$D154=""),"",$A154+IFERROR(INDEX(Listas!$D$5:$D$64,MATCH($D154,Listas!$C$5:$C$64,0)),3))</f>
        <v/>
      </c>
      <c r="N154" s="37"/>
      <c r="O154" s="40" t="str">
        <f aca="false">IF($A154="","",IF($K154="Concluído","Sim","Não"))</f>
        <v/>
      </c>
      <c r="P154" s="40" t="str">
        <f aca="true">IF($A154="","",IF($K154="Stand-by","Stand-by",IF($K154="Concluído","Concluída",IF(AND($M154&lt;&gt;"",$M154&lt;TODAY()),"Atrasada","Em dia"))))</f>
        <v/>
      </c>
      <c r="Q154" s="40" t="str">
        <f aca="false">IF($A154="","",IF(LEN(IF($J154="","título, ","")&amp;IF($C154="","responsável, ","")&amp;IF($D154="","tipo, ","")&amp;IF($I154="","canal, ","")&amp;IF($H154="","município, ","")&amp;IF(AND($U154="Sim",$E154=""),"empresa, ","")&amp;IF(AND($U154="Sim",$F154=""),"editor, ","")&amp;IF(AND($K154="Concluído",$N154=""),"data de conclusão, ","")&amp;IF(AND($K154="Concluído",$R154=""),"link, ","")&amp;IF(AND($K154="Concluído",$L154=""),"quem liberou, ",""))=0,"OK","Falta "&amp;LEFT(IF($J154="","título, ","")&amp;IF($C154="","responsável, ","")&amp;IF($D154="","tipo, ","")&amp;IF($I154="","canal, ","")&amp;IF($H154="","município, ","")&amp;IF(AND($U154="Sim",$E154=""),"empresa, ","")&amp;IF(AND($U154="Sim",$F154=""),"editor, ","")&amp;IF(AND($K154="Concluído",$N154=""),"data de conclusão, ","")&amp;IF(AND($K154="Concluído",$R154=""),"link, ","")&amp;IF(AND($K154="Concluído",$L154=""),"quem liberou, ",""),LEN(IF($J154="","título, ","")&amp;IF($C154="","responsável, ","")&amp;IF($D154="","tipo, ","")&amp;IF($I154="","canal, ","")&amp;IF($H154="","município, ","")&amp;IF(AND($U154="Sim",$E154=""),"empresa, ","")&amp;IF(AND($U154="Sim",$F154=""),"editor, ","")&amp;IF(AND($K154="Concluído",$N154=""),"data de conclusão, ","")&amp;IF(AND($K154="Concluído",$R154=""),"link, ","")&amp;IF(AND($K154="Concluído",$L154=""),"quem liberou, ",""))-2)))</f>
        <v/>
      </c>
      <c r="R154" s="38"/>
      <c r="S154" s="38"/>
      <c r="T154" s="38"/>
      <c r="U154" s="40" t="str">
        <f aca="false">IF($A154="","",IFERROR(INDEX(Listas!$E$5:$E$64,MATCH($D154,Listas!$C$5:$C$64,0)),"Não"))</f>
        <v/>
      </c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9" t="str">
        <f aca="false">IF(OR($A155="",$D155=""),"",$A155+IFERROR(INDEX(Listas!$D$5:$D$64,MATCH($D155,Listas!$C$5:$C$64,0)),3))</f>
        <v/>
      </c>
      <c r="N155" s="37"/>
      <c r="O155" s="40" t="str">
        <f aca="false">IF($A155="","",IF($K155="Concluído","Sim","Não"))</f>
        <v/>
      </c>
      <c r="P155" s="40" t="str">
        <f aca="true">IF($A155="","",IF($K155="Stand-by","Stand-by",IF($K155="Concluído","Concluída",IF(AND($M155&lt;&gt;"",$M155&lt;TODAY()),"Atrasada","Em dia"))))</f>
        <v/>
      </c>
      <c r="Q155" s="40" t="str">
        <f aca="false">IF($A155="","",IF(LEN(IF($J155="","título, ","")&amp;IF($C155="","responsável, ","")&amp;IF($D155="","tipo, ","")&amp;IF($I155="","canal, ","")&amp;IF($H155="","município, ","")&amp;IF(AND($U155="Sim",$E155=""),"empresa, ","")&amp;IF(AND($U155="Sim",$F155=""),"editor, ","")&amp;IF(AND($K155="Concluído",$N155=""),"data de conclusão, ","")&amp;IF(AND($K155="Concluído",$R155=""),"link, ","")&amp;IF(AND($K155="Concluído",$L155=""),"quem liberou, ",""))=0,"OK","Falta "&amp;LEFT(IF($J155="","título, ","")&amp;IF($C155="","responsável, ","")&amp;IF($D155="","tipo, ","")&amp;IF($I155="","canal, ","")&amp;IF($H155="","município, ","")&amp;IF(AND($U155="Sim",$E155=""),"empresa, ","")&amp;IF(AND($U155="Sim",$F155=""),"editor, ","")&amp;IF(AND($K155="Concluído",$N155=""),"data de conclusão, ","")&amp;IF(AND($K155="Concluído",$R155=""),"link, ","")&amp;IF(AND($K155="Concluído",$L155=""),"quem liberou, ",""),LEN(IF($J155="","título, ","")&amp;IF($C155="","responsável, ","")&amp;IF($D155="","tipo, ","")&amp;IF($I155="","canal, ","")&amp;IF($H155="","município, ","")&amp;IF(AND($U155="Sim",$E155=""),"empresa, ","")&amp;IF(AND($U155="Sim",$F155=""),"editor, ","")&amp;IF(AND($K155="Concluído",$N155=""),"data de conclusão, ","")&amp;IF(AND($K155="Concluído",$R155=""),"link, ","")&amp;IF(AND($K155="Concluído",$L155=""),"quem liberou, ",""))-2)))</f>
        <v/>
      </c>
      <c r="R155" s="38"/>
      <c r="S155" s="38"/>
      <c r="T155" s="38"/>
      <c r="U155" s="40" t="str">
        <f aca="false">IF($A155="","",IFERROR(INDEX(Listas!$E$5:$E$64,MATCH($D155,Listas!$C$5:$C$64,0)),"Não"))</f>
        <v/>
      </c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9" t="str">
        <f aca="false">IF(OR($A156="",$D156=""),"",$A156+IFERROR(INDEX(Listas!$D$5:$D$64,MATCH($D156,Listas!$C$5:$C$64,0)),3))</f>
        <v/>
      </c>
      <c r="N156" s="37"/>
      <c r="O156" s="40" t="str">
        <f aca="false">IF($A156="","",IF($K156="Concluído","Sim","Não"))</f>
        <v/>
      </c>
      <c r="P156" s="40" t="str">
        <f aca="true">IF($A156="","",IF($K156="Stand-by","Stand-by",IF($K156="Concluído","Concluída",IF(AND($M156&lt;&gt;"",$M156&lt;TODAY()),"Atrasada","Em dia"))))</f>
        <v/>
      </c>
      <c r="Q156" s="40" t="str">
        <f aca="false">IF($A156="","",IF(LEN(IF($J156="","título, ","")&amp;IF($C156="","responsável, ","")&amp;IF($D156="","tipo, ","")&amp;IF($I156="","canal, ","")&amp;IF($H156="","município, ","")&amp;IF(AND($U156="Sim",$E156=""),"empresa, ","")&amp;IF(AND($U156="Sim",$F156=""),"editor, ","")&amp;IF(AND($K156="Concluído",$N156=""),"data de conclusão, ","")&amp;IF(AND($K156="Concluído",$R156=""),"link, ","")&amp;IF(AND($K156="Concluído",$L156=""),"quem liberou, ",""))=0,"OK","Falta "&amp;LEFT(IF($J156="","título, ","")&amp;IF($C156="","responsável, ","")&amp;IF($D156="","tipo, ","")&amp;IF($I156="","canal, ","")&amp;IF($H156="","município, ","")&amp;IF(AND($U156="Sim",$E156=""),"empresa, ","")&amp;IF(AND($U156="Sim",$F156=""),"editor, ","")&amp;IF(AND($K156="Concluído",$N156=""),"data de conclusão, ","")&amp;IF(AND($K156="Concluído",$R156=""),"link, ","")&amp;IF(AND($K156="Concluído",$L156=""),"quem liberou, ",""),LEN(IF($J156="","título, ","")&amp;IF($C156="","responsável, ","")&amp;IF($D156="","tipo, ","")&amp;IF($I156="","canal, ","")&amp;IF($H156="","município, ","")&amp;IF(AND($U156="Sim",$E156=""),"empresa, ","")&amp;IF(AND($U156="Sim",$F156=""),"editor, ","")&amp;IF(AND($K156="Concluído",$N156=""),"data de conclusão, ","")&amp;IF(AND($K156="Concluído",$R156=""),"link, ","")&amp;IF(AND($K156="Concluído",$L156=""),"quem liberou, ",""))-2)))</f>
        <v/>
      </c>
      <c r="R156" s="38"/>
      <c r="S156" s="38"/>
      <c r="T156" s="38"/>
      <c r="U156" s="40" t="str">
        <f aca="false">IF($A156="","",IFERROR(INDEX(Listas!$E$5:$E$64,MATCH($D156,Listas!$C$5:$C$64,0)),"Não"))</f>
        <v/>
      </c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9" t="str">
        <f aca="false">IF(OR($A157="",$D157=""),"",$A157+IFERROR(INDEX(Listas!$D$5:$D$64,MATCH($D157,Listas!$C$5:$C$64,0)),3))</f>
        <v/>
      </c>
      <c r="N157" s="37"/>
      <c r="O157" s="40" t="str">
        <f aca="false">IF($A157="","",IF($K157="Concluído","Sim","Não"))</f>
        <v/>
      </c>
      <c r="P157" s="40" t="str">
        <f aca="true">IF($A157="","",IF($K157="Stand-by","Stand-by",IF($K157="Concluído","Concluída",IF(AND($M157&lt;&gt;"",$M157&lt;TODAY()),"Atrasada","Em dia"))))</f>
        <v/>
      </c>
      <c r="Q157" s="40" t="str">
        <f aca="false">IF($A157="","",IF(LEN(IF($J157="","título, ","")&amp;IF($C157="","responsável, ","")&amp;IF($D157="","tipo, ","")&amp;IF($I157="","canal, ","")&amp;IF($H157="","município, ","")&amp;IF(AND($U157="Sim",$E157=""),"empresa, ","")&amp;IF(AND($U157="Sim",$F157=""),"editor, ","")&amp;IF(AND($K157="Concluído",$N157=""),"data de conclusão, ","")&amp;IF(AND($K157="Concluído",$R157=""),"link, ","")&amp;IF(AND($K157="Concluído",$L157=""),"quem liberou, ",""))=0,"OK","Falta "&amp;LEFT(IF($J157="","título, ","")&amp;IF($C157="","responsável, ","")&amp;IF($D157="","tipo, ","")&amp;IF($I157="","canal, ","")&amp;IF($H157="","município, ","")&amp;IF(AND($U157="Sim",$E157=""),"empresa, ","")&amp;IF(AND($U157="Sim",$F157=""),"editor, ","")&amp;IF(AND($K157="Concluído",$N157=""),"data de conclusão, ","")&amp;IF(AND($K157="Concluído",$R157=""),"link, ","")&amp;IF(AND($K157="Concluído",$L157=""),"quem liberou, ",""),LEN(IF($J157="","título, ","")&amp;IF($C157="","responsável, ","")&amp;IF($D157="","tipo, ","")&amp;IF($I157="","canal, ","")&amp;IF($H157="","município, ","")&amp;IF(AND($U157="Sim",$E157=""),"empresa, ","")&amp;IF(AND($U157="Sim",$F157=""),"editor, ","")&amp;IF(AND($K157="Concluído",$N157=""),"data de conclusão, ","")&amp;IF(AND($K157="Concluído",$R157=""),"link, ","")&amp;IF(AND($K157="Concluído",$L157=""),"quem liberou, ",""))-2)))</f>
        <v/>
      </c>
      <c r="R157" s="38"/>
      <c r="S157" s="38"/>
      <c r="T157" s="38"/>
      <c r="U157" s="40" t="str">
        <f aca="false">IF($A157="","",IFERROR(INDEX(Listas!$E$5:$E$64,MATCH($D157,Listas!$C$5:$C$64,0)),"Não"))</f>
        <v/>
      </c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9" t="str">
        <f aca="false">IF(OR($A158="",$D158=""),"",$A158+IFERROR(INDEX(Listas!$D$5:$D$64,MATCH($D158,Listas!$C$5:$C$64,0)),3))</f>
        <v/>
      </c>
      <c r="N158" s="37"/>
      <c r="O158" s="40" t="str">
        <f aca="false">IF($A158="","",IF($K158="Concluído","Sim","Não"))</f>
        <v/>
      </c>
      <c r="P158" s="40" t="str">
        <f aca="true">IF($A158="","",IF($K158="Stand-by","Stand-by",IF($K158="Concluído","Concluída",IF(AND($M158&lt;&gt;"",$M158&lt;TODAY()),"Atrasada","Em dia"))))</f>
        <v/>
      </c>
      <c r="Q158" s="40" t="str">
        <f aca="false">IF($A158="","",IF(LEN(IF($J158="","título, ","")&amp;IF($C158="","responsável, ","")&amp;IF($D158="","tipo, ","")&amp;IF($I158="","canal, ","")&amp;IF($H158="","município, ","")&amp;IF(AND($U158="Sim",$E158=""),"empresa, ","")&amp;IF(AND($U158="Sim",$F158=""),"editor, ","")&amp;IF(AND($K158="Concluído",$N158=""),"data de conclusão, ","")&amp;IF(AND($K158="Concluído",$R158=""),"link, ","")&amp;IF(AND($K158="Concluído",$L158=""),"quem liberou, ",""))=0,"OK","Falta "&amp;LEFT(IF($J158="","título, ","")&amp;IF($C158="","responsável, ","")&amp;IF($D158="","tipo, ","")&amp;IF($I158="","canal, ","")&amp;IF($H158="","município, ","")&amp;IF(AND($U158="Sim",$E158=""),"empresa, ","")&amp;IF(AND($U158="Sim",$F158=""),"editor, ","")&amp;IF(AND($K158="Concluído",$N158=""),"data de conclusão, ","")&amp;IF(AND($K158="Concluído",$R158=""),"link, ","")&amp;IF(AND($K158="Concluído",$L158=""),"quem liberou, ",""),LEN(IF($J158="","título, ","")&amp;IF($C158="","responsável, ","")&amp;IF($D158="","tipo, ","")&amp;IF($I158="","canal, ","")&amp;IF($H158="","município, ","")&amp;IF(AND($U158="Sim",$E158=""),"empresa, ","")&amp;IF(AND($U158="Sim",$F158=""),"editor, ","")&amp;IF(AND($K158="Concluído",$N158=""),"data de conclusão, ","")&amp;IF(AND($K158="Concluído",$R158=""),"link, ","")&amp;IF(AND($K158="Concluído",$L158=""),"quem liberou, ",""))-2)))</f>
        <v/>
      </c>
      <c r="R158" s="38"/>
      <c r="S158" s="38"/>
      <c r="T158" s="38"/>
      <c r="U158" s="40" t="str">
        <f aca="false">IF($A158="","",IFERROR(INDEX(Listas!$E$5:$E$64,MATCH($D158,Listas!$C$5:$C$64,0)),"Não"))</f>
        <v/>
      </c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9" t="str">
        <f aca="false">IF(OR($A159="",$D159=""),"",$A159+IFERROR(INDEX(Listas!$D$5:$D$64,MATCH($D159,Listas!$C$5:$C$64,0)),3))</f>
        <v/>
      </c>
      <c r="N159" s="37"/>
      <c r="O159" s="40" t="str">
        <f aca="false">IF($A159="","",IF($K159="Concluído","Sim","Não"))</f>
        <v/>
      </c>
      <c r="P159" s="40" t="str">
        <f aca="true">IF($A159="","",IF($K159="Stand-by","Stand-by",IF($K159="Concluído","Concluída",IF(AND($M159&lt;&gt;"",$M159&lt;TODAY()),"Atrasada","Em dia"))))</f>
        <v/>
      </c>
      <c r="Q159" s="40" t="str">
        <f aca="false">IF($A159="","",IF(LEN(IF($J159="","título, ","")&amp;IF($C159="","responsável, ","")&amp;IF($D159="","tipo, ","")&amp;IF($I159="","canal, ","")&amp;IF($H159="","município, ","")&amp;IF(AND($U159="Sim",$E159=""),"empresa, ","")&amp;IF(AND($U159="Sim",$F159=""),"editor, ","")&amp;IF(AND($K159="Concluído",$N159=""),"data de conclusão, ","")&amp;IF(AND($K159="Concluído",$R159=""),"link, ","")&amp;IF(AND($K159="Concluído",$L159=""),"quem liberou, ",""))=0,"OK","Falta "&amp;LEFT(IF($J159="","título, ","")&amp;IF($C159="","responsável, ","")&amp;IF($D159="","tipo, ","")&amp;IF($I159="","canal, ","")&amp;IF($H159="","município, ","")&amp;IF(AND($U159="Sim",$E159=""),"empresa, ","")&amp;IF(AND($U159="Sim",$F159=""),"editor, ","")&amp;IF(AND($K159="Concluído",$N159=""),"data de conclusão, ","")&amp;IF(AND($K159="Concluído",$R159=""),"link, ","")&amp;IF(AND($K159="Concluído",$L159=""),"quem liberou, ",""),LEN(IF($J159="","título, ","")&amp;IF($C159="","responsável, ","")&amp;IF($D159="","tipo, ","")&amp;IF($I159="","canal, ","")&amp;IF($H159="","município, ","")&amp;IF(AND($U159="Sim",$E159=""),"empresa, ","")&amp;IF(AND($U159="Sim",$F159=""),"editor, ","")&amp;IF(AND($K159="Concluído",$N159=""),"data de conclusão, ","")&amp;IF(AND($K159="Concluído",$R159=""),"link, ","")&amp;IF(AND($K159="Concluído",$L159=""),"quem liberou, ",""))-2)))</f>
        <v/>
      </c>
      <c r="R159" s="38"/>
      <c r="S159" s="38"/>
      <c r="T159" s="38"/>
      <c r="U159" s="40" t="str">
        <f aca="false">IF($A159="","",IFERROR(INDEX(Listas!$E$5:$E$64,MATCH($D159,Listas!$C$5:$C$64,0)),"Não"))</f>
        <v/>
      </c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9" t="str">
        <f aca="false">IF(OR($A160="",$D160=""),"",$A160+IFERROR(INDEX(Listas!$D$5:$D$64,MATCH($D160,Listas!$C$5:$C$64,0)),3))</f>
        <v/>
      </c>
      <c r="N160" s="37"/>
      <c r="O160" s="40" t="str">
        <f aca="false">IF($A160="","",IF($K160="Concluído","Sim","Não"))</f>
        <v/>
      </c>
      <c r="P160" s="40" t="str">
        <f aca="true">IF($A160="","",IF($K160="Stand-by","Stand-by",IF($K160="Concluído","Concluída",IF(AND($M160&lt;&gt;"",$M160&lt;TODAY()),"Atrasada","Em dia"))))</f>
        <v/>
      </c>
      <c r="Q160" s="40" t="str">
        <f aca="false">IF($A160="","",IF(LEN(IF($J160="","título, ","")&amp;IF($C160="","responsável, ","")&amp;IF($D160="","tipo, ","")&amp;IF($I160="","canal, ","")&amp;IF($H160="","município, ","")&amp;IF(AND($U160="Sim",$E160=""),"empresa, ","")&amp;IF(AND($U160="Sim",$F160=""),"editor, ","")&amp;IF(AND($K160="Concluído",$N160=""),"data de conclusão, ","")&amp;IF(AND($K160="Concluído",$R160=""),"link, ","")&amp;IF(AND($K160="Concluído",$L160=""),"quem liberou, ",""))=0,"OK","Falta "&amp;LEFT(IF($J160="","título, ","")&amp;IF($C160="","responsável, ","")&amp;IF($D160="","tipo, ","")&amp;IF($I160="","canal, ","")&amp;IF($H160="","município, ","")&amp;IF(AND($U160="Sim",$E160=""),"empresa, ","")&amp;IF(AND($U160="Sim",$F160=""),"editor, ","")&amp;IF(AND($K160="Concluído",$N160=""),"data de conclusão, ","")&amp;IF(AND($K160="Concluído",$R160=""),"link, ","")&amp;IF(AND($K160="Concluído",$L160=""),"quem liberou, ",""),LEN(IF($J160="","título, ","")&amp;IF($C160="","responsável, ","")&amp;IF($D160="","tipo, ","")&amp;IF($I160="","canal, ","")&amp;IF($H160="","município, ","")&amp;IF(AND($U160="Sim",$E160=""),"empresa, ","")&amp;IF(AND($U160="Sim",$F160=""),"editor, ","")&amp;IF(AND($K160="Concluído",$N160=""),"data de conclusão, ","")&amp;IF(AND($K160="Concluído",$R160=""),"link, ","")&amp;IF(AND($K160="Concluído",$L160=""),"quem liberou, ",""))-2)))</f>
        <v/>
      </c>
      <c r="R160" s="38"/>
      <c r="S160" s="38"/>
      <c r="T160" s="38"/>
      <c r="U160" s="40" t="str">
        <f aca="false">IF($A160="","",IFERROR(INDEX(Listas!$E$5:$E$64,MATCH($D160,Listas!$C$5:$C$64,0)),"Não"))</f>
        <v/>
      </c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9" t="str">
        <f aca="false">IF(OR($A161="",$D161=""),"",$A161+IFERROR(INDEX(Listas!$D$5:$D$64,MATCH($D161,Listas!$C$5:$C$64,0)),3))</f>
        <v/>
      </c>
      <c r="N161" s="37"/>
      <c r="O161" s="40" t="str">
        <f aca="false">IF($A161="","",IF($K161="Concluído","Sim","Não"))</f>
        <v/>
      </c>
      <c r="P161" s="40" t="str">
        <f aca="true">IF($A161="","",IF($K161="Stand-by","Stand-by",IF($K161="Concluído","Concluída",IF(AND($M161&lt;&gt;"",$M161&lt;TODAY()),"Atrasada","Em dia"))))</f>
        <v/>
      </c>
      <c r="Q161" s="40" t="str">
        <f aca="false">IF($A161="","",IF(LEN(IF($J161="","título, ","")&amp;IF($C161="","responsável, ","")&amp;IF($D161="","tipo, ","")&amp;IF($I161="","canal, ","")&amp;IF($H161="","município, ","")&amp;IF(AND($U161="Sim",$E161=""),"empresa, ","")&amp;IF(AND($U161="Sim",$F161=""),"editor, ","")&amp;IF(AND($K161="Concluído",$N161=""),"data de conclusão, ","")&amp;IF(AND($K161="Concluído",$R161=""),"link, ","")&amp;IF(AND($K161="Concluído",$L161=""),"quem liberou, ",""))=0,"OK","Falta "&amp;LEFT(IF($J161="","título, ","")&amp;IF($C161="","responsável, ","")&amp;IF($D161="","tipo, ","")&amp;IF($I161="","canal, ","")&amp;IF($H161="","município, ","")&amp;IF(AND($U161="Sim",$E161=""),"empresa, ","")&amp;IF(AND($U161="Sim",$F161=""),"editor, ","")&amp;IF(AND($K161="Concluído",$N161=""),"data de conclusão, ","")&amp;IF(AND($K161="Concluído",$R161=""),"link, ","")&amp;IF(AND($K161="Concluído",$L161=""),"quem liberou, ",""),LEN(IF($J161="","título, ","")&amp;IF($C161="","responsável, ","")&amp;IF($D161="","tipo, ","")&amp;IF($I161="","canal, ","")&amp;IF($H161="","município, ","")&amp;IF(AND($U161="Sim",$E161=""),"empresa, ","")&amp;IF(AND($U161="Sim",$F161=""),"editor, ","")&amp;IF(AND($K161="Concluído",$N161=""),"data de conclusão, ","")&amp;IF(AND($K161="Concluído",$R161=""),"link, ","")&amp;IF(AND($K161="Concluído",$L161=""),"quem liberou, ",""))-2)))</f>
        <v/>
      </c>
      <c r="R161" s="38"/>
      <c r="S161" s="38"/>
      <c r="T161" s="38"/>
      <c r="U161" s="40" t="str">
        <f aca="false">IF($A161="","",IFERROR(INDEX(Listas!$E$5:$E$64,MATCH($D161,Listas!$C$5:$C$64,0)),"Não"))</f>
        <v/>
      </c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9" t="str">
        <f aca="false">IF(OR($A162="",$D162=""),"",$A162+IFERROR(INDEX(Listas!$D$5:$D$64,MATCH($D162,Listas!$C$5:$C$64,0)),3))</f>
        <v/>
      </c>
      <c r="N162" s="37"/>
      <c r="O162" s="40" t="str">
        <f aca="false">IF($A162="","",IF($K162="Concluído","Sim","Não"))</f>
        <v/>
      </c>
      <c r="P162" s="40" t="str">
        <f aca="true">IF($A162="","",IF($K162="Stand-by","Stand-by",IF($K162="Concluído","Concluída",IF(AND($M162&lt;&gt;"",$M162&lt;TODAY()),"Atrasada","Em dia"))))</f>
        <v/>
      </c>
      <c r="Q162" s="40" t="str">
        <f aca="false">IF($A162="","",IF(LEN(IF($J162="","título, ","")&amp;IF($C162="","responsável, ","")&amp;IF($D162="","tipo, ","")&amp;IF($I162="","canal, ","")&amp;IF($H162="","município, ","")&amp;IF(AND($U162="Sim",$E162=""),"empresa, ","")&amp;IF(AND($U162="Sim",$F162=""),"editor, ","")&amp;IF(AND($K162="Concluído",$N162=""),"data de conclusão, ","")&amp;IF(AND($K162="Concluído",$R162=""),"link, ","")&amp;IF(AND($K162="Concluído",$L162=""),"quem liberou, ",""))=0,"OK","Falta "&amp;LEFT(IF($J162="","título, ","")&amp;IF($C162="","responsável, ","")&amp;IF($D162="","tipo, ","")&amp;IF($I162="","canal, ","")&amp;IF($H162="","município, ","")&amp;IF(AND($U162="Sim",$E162=""),"empresa, ","")&amp;IF(AND($U162="Sim",$F162=""),"editor, ","")&amp;IF(AND($K162="Concluído",$N162=""),"data de conclusão, ","")&amp;IF(AND($K162="Concluído",$R162=""),"link, ","")&amp;IF(AND($K162="Concluído",$L162=""),"quem liberou, ",""),LEN(IF($J162="","título, ","")&amp;IF($C162="","responsável, ","")&amp;IF($D162="","tipo, ","")&amp;IF($I162="","canal, ","")&amp;IF($H162="","município, ","")&amp;IF(AND($U162="Sim",$E162=""),"empresa, ","")&amp;IF(AND($U162="Sim",$F162=""),"editor, ","")&amp;IF(AND($K162="Concluído",$N162=""),"data de conclusão, ","")&amp;IF(AND($K162="Concluído",$R162=""),"link, ","")&amp;IF(AND($K162="Concluído",$L162=""),"quem liberou, ",""))-2)))</f>
        <v/>
      </c>
      <c r="R162" s="38"/>
      <c r="S162" s="38"/>
      <c r="T162" s="38"/>
      <c r="U162" s="40" t="str">
        <f aca="false">IF($A162="","",IFERROR(INDEX(Listas!$E$5:$E$64,MATCH($D162,Listas!$C$5:$C$64,0)),"Não"))</f>
        <v/>
      </c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9" t="str">
        <f aca="false">IF(OR($A163="",$D163=""),"",$A163+IFERROR(INDEX(Listas!$D$5:$D$64,MATCH($D163,Listas!$C$5:$C$64,0)),3))</f>
        <v/>
      </c>
      <c r="N163" s="37"/>
      <c r="O163" s="40" t="str">
        <f aca="false">IF($A163="","",IF($K163="Concluído","Sim","Não"))</f>
        <v/>
      </c>
      <c r="P163" s="40" t="str">
        <f aca="true">IF($A163="","",IF($K163="Stand-by","Stand-by",IF($K163="Concluído","Concluída",IF(AND($M163&lt;&gt;"",$M163&lt;TODAY()),"Atrasada","Em dia"))))</f>
        <v/>
      </c>
      <c r="Q163" s="40" t="str">
        <f aca="false">IF($A163="","",IF(LEN(IF($J163="","título, ","")&amp;IF($C163="","responsável, ","")&amp;IF($D163="","tipo, ","")&amp;IF($I163="","canal, ","")&amp;IF($H163="","município, ","")&amp;IF(AND($U163="Sim",$E163=""),"empresa, ","")&amp;IF(AND($U163="Sim",$F163=""),"editor, ","")&amp;IF(AND($K163="Concluído",$N163=""),"data de conclusão, ","")&amp;IF(AND($K163="Concluído",$R163=""),"link, ","")&amp;IF(AND($K163="Concluído",$L163=""),"quem liberou, ",""))=0,"OK","Falta "&amp;LEFT(IF($J163="","título, ","")&amp;IF($C163="","responsável, ","")&amp;IF($D163="","tipo, ","")&amp;IF($I163="","canal, ","")&amp;IF($H163="","município, ","")&amp;IF(AND($U163="Sim",$E163=""),"empresa, ","")&amp;IF(AND($U163="Sim",$F163=""),"editor, ","")&amp;IF(AND($K163="Concluído",$N163=""),"data de conclusão, ","")&amp;IF(AND($K163="Concluído",$R163=""),"link, ","")&amp;IF(AND($K163="Concluído",$L163=""),"quem liberou, ",""),LEN(IF($J163="","título, ","")&amp;IF($C163="","responsável, ","")&amp;IF($D163="","tipo, ","")&amp;IF($I163="","canal, ","")&amp;IF($H163="","município, ","")&amp;IF(AND($U163="Sim",$E163=""),"empresa, ","")&amp;IF(AND($U163="Sim",$F163=""),"editor, ","")&amp;IF(AND($K163="Concluído",$N163=""),"data de conclusão, ","")&amp;IF(AND($K163="Concluído",$R163=""),"link, ","")&amp;IF(AND($K163="Concluído",$L163=""),"quem liberou, ",""))-2)))</f>
        <v/>
      </c>
      <c r="R163" s="38"/>
      <c r="S163" s="38"/>
      <c r="T163" s="38"/>
      <c r="U163" s="40" t="str">
        <f aca="false">IF($A163="","",IFERROR(INDEX(Listas!$E$5:$E$64,MATCH($D163,Listas!$C$5:$C$64,0)),"Não"))</f>
        <v/>
      </c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9" t="str">
        <f aca="false">IF(OR($A164="",$D164=""),"",$A164+IFERROR(INDEX(Listas!$D$5:$D$64,MATCH($D164,Listas!$C$5:$C$64,0)),3))</f>
        <v/>
      </c>
      <c r="N164" s="37"/>
      <c r="O164" s="40" t="str">
        <f aca="false">IF($A164="","",IF($K164="Concluído","Sim","Não"))</f>
        <v/>
      </c>
      <c r="P164" s="40" t="str">
        <f aca="true">IF($A164="","",IF($K164="Stand-by","Stand-by",IF($K164="Concluído","Concluída",IF(AND($M164&lt;&gt;"",$M164&lt;TODAY()),"Atrasada","Em dia"))))</f>
        <v/>
      </c>
      <c r="Q164" s="40" t="str">
        <f aca="false">IF($A164="","",IF(LEN(IF($J164="","título, ","")&amp;IF($C164="","responsável, ","")&amp;IF($D164="","tipo, ","")&amp;IF($I164="","canal, ","")&amp;IF($H164="","município, ","")&amp;IF(AND($U164="Sim",$E164=""),"empresa, ","")&amp;IF(AND($U164="Sim",$F164=""),"editor, ","")&amp;IF(AND($K164="Concluído",$N164=""),"data de conclusão, ","")&amp;IF(AND($K164="Concluído",$R164=""),"link, ","")&amp;IF(AND($K164="Concluído",$L164=""),"quem liberou, ",""))=0,"OK","Falta "&amp;LEFT(IF($J164="","título, ","")&amp;IF($C164="","responsável, ","")&amp;IF($D164="","tipo, ","")&amp;IF($I164="","canal, ","")&amp;IF($H164="","município, ","")&amp;IF(AND($U164="Sim",$E164=""),"empresa, ","")&amp;IF(AND($U164="Sim",$F164=""),"editor, ","")&amp;IF(AND($K164="Concluído",$N164=""),"data de conclusão, ","")&amp;IF(AND($K164="Concluído",$R164=""),"link, ","")&amp;IF(AND($K164="Concluído",$L164=""),"quem liberou, ",""),LEN(IF($J164="","título, ","")&amp;IF($C164="","responsável, ","")&amp;IF($D164="","tipo, ","")&amp;IF($I164="","canal, ","")&amp;IF($H164="","município, ","")&amp;IF(AND($U164="Sim",$E164=""),"empresa, ","")&amp;IF(AND($U164="Sim",$F164=""),"editor, ","")&amp;IF(AND($K164="Concluído",$N164=""),"data de conclusão, ","")&amp;IF(AND($K164="Concluído",$R164=""),"link, ","")&amp;IF(AND($K164="Concluído",$L164=""),"quem liberou, ",""))-2)))</f>
        <v/>
      </c>
      <c r="R164" s="38"/>
      <c r="S164" s="38"/>
      <c r="T164" s="38"/>
      <c r="U164" s="40" t="str">
        <f aca="false">IF($A164="","",IFERROR(INDEX(Listas!$E$5:$E$64,MATCH($D164,Listas!$C$5:$C$64,0)),"Não"))</f>
        <v/>
      </c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9" t="str">
        <f aca="false">IF(OR($A165="",$D165=""),"",$A165+IFERROR(INDEX(Listas!$D$5:$D$64,MATCH($D165,Listas!$C$5:$C$64,0)),3))</f>
        <v/>
      </c>
      <c r="N165" s="37"/>
      <c r="O165" s="40" t="str">
        <f aca="false">IF($A165="","",IF($K165="Concluído","Sim","Não"))</f>
        <v/>
      </c>
      <c r="P165" s="40" t="str">
        <f aca="true">IF($A165="","",IF($K165="Stand-by","Stand-by",IF($K165="Concluído","Concluída",IF(AND($M165&lt;&gt;"",$M165&lt;TODAY()),"Atrasada","Em dia"))))</f>
        <v/>
      </c>
      <c r="Q165" s="40" t="str">
        <f aca="false">IF($A165="","",IF(LEN(IF($J165="","título, ","")&amp;IF($C165="","responsável, ","")&amp;IF($D165="","tipo, ","")&amp;IF($I165="","canal, ","")&amp;IF($H165="","município, ","")&amp;IF(AND($U165="Sim",$E165=""),"empresa, ","")&amp;IF(AND($U165="Sim",$F165=""),"editor, ","")&amp;IF(AND($K165="Concluído",$N165=""),"data de conclusão, ","")&amp;IF(AND($K165="Concluído",$R165=""),"link, ","")&amp;IF(AND($K165="Concluído",$L165=""),"quem liberou, ",""))=0,"OK","Falta "&amp;LEFT(IF($J165="","título, ","")&amp;IF($C165="","responsável, ","")&amp;IF($D165="","tipo, ","")&amp;IF($I165="","canal, ","")&amp;IF($H165="","município, ","")&amp;IF(AND($U165="Sim",$E165=""),"empresa, ","")&amp;IF(AND($U165="Sim",$F165=""),"editor, ","")&amp;IF(AND($K165="Concluído",$N165=""),"data de conclusão, ","")&amp;IF(AND($K165="Concluído",$R165=""),"link, ","")&amp;IF(AND($K165="Concluído",$L165=""),"quem liberou, ",""),LEN(IF($J165="","título, ","")&amp;IF($C165="","responsável, ","")&amp;IF($D165="","tipo, ","")&amp;IF($I165="","canal, ","")&amp;IF($H165="","município, ","")&amp;IF(AND($U165="Sim",$E165=""),"empresa, ","")&amp;IF(AND($U165="Sim",$F165=""),"editor, ","")&amp;IF(AND($K165="Concluído",$N165=""),"data de conclusão, ","")&amp;IF(AND($K165="Concluído",$R165=""),"link, ","")&amp;IF(AND($K165="Concluído",$L165=""),"quem liberou, ",""))-2)))</f>
        <v/>
      </c>
      <c r="R165" s="38"/>
      <c r="S165" s="38"/>
      <c r="T165" s="38"/>
      <c r="U165" s="40" t="str">
        <f aca="false">IF($A165="","",IFERROR(INDEX(Listas!$E$5:$E$64,MATCH($D165,Listas!$C$5:$C$64,0)),"Não"))</f>
        <v/>
      </c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9" t="str">
        <f aca="false">IF(OR($A166="",$D166=""),"",$A166+IFERROR(INDEX(Listas!$D$5:$D$64,MATCH($D166,Listas!$C$5:$C$64,0)),3))</f>
        <v/>
      </c>
      <c r="N166" s="37"/>
      <c r="O166" s="40" t="str">
        <f aca="false">IF($A166="","",IF($K166="Concluído","Sim","Não"))</f>
        <v/>
      </c>
      <c r="P166" s="40" t="str">
        <f aca="true">IF($A166="","",IF($K166="Stand-by","Stand-by",IF($K166="Concluído","Concluída",IF(AND($M166&lt;&gt;"",$M166&lt;TODAY()),"Atrasada","Em dia"))))</f>
        <v/>
      </c>
      <c r="Q166" s="40" t="str">
        <f aca="false">IF($A166="","",IF(LEN(IF($J166="","título, ","")&amp;IF($C166="","responsável, ","")&amp;IF($D166="","tipo, ","")&amp;IF($I166="","canal, ","")&amp;IF($H166="","município, ","")&amp;IF(AND($U166="Sim",$E166=""),"empresa, ","")&amp;IF(AND($U166="Sim",$F166=""),"editor, ","")&amp;IF(AND($K166="Concluído",$N166=""),"data de conclusão, ","")&amp;IF(AND($K166="Concluído",$R166=""),"link, ","")&amp;IF(AND($K166="Concluído",$L166=""),"quem liberou, ",""))=0,"OK","Falta "&amp;LEFT(IF($J166="","título, ","")&amp;IF($C166="","responsável, ","")&amp;IF($D166="","tipo, ","")&amp;IF($I166="","canal, ","")&amp;IF($H166="","município, ","")&amp;IF(AND($U166="Sim",$E166=""),"empresa, ","")&amp;IF(AND($U166="Sim",$F166=""),"editor, ","")&amp;IF(AND($K166="Concluído",$N166=""),"data de conclusão, ","")&amp;IF(AND($K166="Concluído",$R166=""),"link, ","")&amp;IF(AND($K166="Concluído",$L166=""),"quem liberou, ",""),LEN(IF($J166="","título, ","")&amp;IF($C166="","responsável, ","")&amp;IF($D166="","tipo, ","")&amp;IF($I166="","canal, ","")&amp;IF($H166="","município, ","")&amp;IF(AND($U166="Sim",$E166=""),"empresa, ","")&amp;IF(AND($U166="Sim",$F166=""),"editor, ","")&amp;IF(AND($K166="Concluído",$N166=""),"data de conclusão, ","")&amp;IF(AND($K166="Concluído",$R166=""),"link, ","")&amp;IF(AND($K166="Concluído",$L166=""),"quem liberou, ",""))-2)))</f>
        <v/>
      </c>
      <c r="R166" s="38"/>
      <c r="S166" s="38"/>
      <c r="T166" s="38"/>
      <c r="U166" s="40" t="str">
        <f aca="false">IF($A166="","",IFERROR(INDEX(Listas!$E$5:$E$64,MATCH($D166,Listas!$C$5:$C$64,0)),"Não"))</f>
        <v/>
      </c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9" t="str">
        <f aca="false">IF(OR($A167="",$D167=""),"",$A167+IFERROR(INDEX(Listas!$D$5:$D$64,MATCH($D167,Listas!$C$5:$C$64,0)),3))</f>
        <v/>
      </c>
      <c r="N167" s="37"/>
      <c r="O167" s="40" t="str">
        <f aca="false">IF($A167="","",IF($K167="Concluído","Sim","Não"))</f>
        <v/>
      </c>
      <c r="P167" s="40" t="str">
        <f aca="true">IF($A167="","",IF($K167="Stand-by","Stand-by",IF($K167="Concluído","Concluída",IF(AND($M167&lt;&gt;"",$M167&lt;TODAY()),"Atrasada","Em dia"))))</f>
        <v/>
      </c>
      <c r="Q167" s="40" t="str">
        <f aca="false">IF($A167="","",IF(LEN(IF($J167="","título, ","")&amp;IF($C167="","responsável, ","")&amp;IF($D167="","tipo, ","")&amp;IF($I167="","canal, ","")&amp;IF($H167="","município, ","")&amp;IF(AND($U167="Sim",$E167=""),"empresa, ","")&amp;IF(AND($U167="Sim",$F167=""),"editor, ","")&amp;IF(AND($K167="Concluído",$N167=""),"data de conclusão, ","")&amp;IF(AND($K167="Concluído",$R167=""),"link, ","")&amp;IF(AND($K167="Concluído",$L167=""),"quem liberou, ",""))=0,"OK","Falta "&amp;LEFT(IF($J167="","título, ","")&amp;IF($C167="","responsável, ","")&amp;IF($D167="","tipo, ","")&amp;IF($I167="","canal, ","")&amp;IF($H167="","município, ","")&amp;IF(AND($U167="Sim",$E167=""),"empresa, ","")&amp;IF(AND($U167="Sim",$F167=""),"editor, ","")&amp;IF(AND($K167="Concluído",$N167=""),"data de conclusão, ","")&amp;IF(AND($K167="Concluído",$R167=""),"link, ","")&amp;IF(AND($K167="Concluído",$L167=""),"quem liberou, ",""),LEN(IF($J167="","título, ","")&amp;IF($C167="","responsável, ","")&amp;IF($D167="","tipo, ","")&amp;IF($I167="","canal, ","")&amp;IF($H167="","município, ","")&amp;IF(AND($U167="Sim",$E167=""),"empresa, ","")&amp;IF(AND($U167="Sim",$F167=""),"editor, ","")&amp;IF(AND($K167="Concluído",$N167=""),"data de conclusão, ","")&amp;IF(AND($K167="Concluído",$R167=""),"link, ","")&amp;IF(AND($K167="Concluído",$L167=""),"quem liberou, ",""))-2)))</f>
        <v/>
      </c>
      <c r="R167" s="38"/>
      <c r="S167" s="38"/>
      <c r="T167" s="38"/>
      <c r="U167" s="40" t="str">
        <f aca="false">IF($A167="","",IFERROR(INDEX(Listas!$E$5:$E$64,MATCH($D167,Listas!$C$5:$C$64,0)),"Não"))</f>
        <v/>
      </c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9" t="str">
        <f aca="false">IF(OR($A168="",$D168=""),"",$A168+IFERROR(INDEX(Listas!$D$5:$D$64,MATCH($D168,Listas!$C$5:$C$64,0)),3))</f>
        <v/>
      </c>
      <c r="N168" s="37"/>
      <c r="O168" s="40" t="str">
        <f aca="false">IF($A168="","",IF($K168="Concluído","Sim","Não"))</f>
        <v/>
      </c>
      <c r="P168" s="40" t="str">
        <f aca="true">IF($A168="","",IF($K168="Stand-by","Stand-by",IF($K168="Concluído","Concluída",IF(AND($M168&lt;&gt;"",$M168&lt;TODAY()),"Atrasada","Em dia"))))</f>
        <v/>
      </c>
      <c r="Q168" s="40" t="str">
        <f aca="false">IF($A168="","",IF(LEN(IF($J168="","título, ","")&amp;IF($C168="","responsável, ","")&amp;IF($D168="","tipo, ","")&amp;IF($I168="","canal, ","")&amp;IF($H168="","município, ","")&amp;IF(AND($U168="Sim",$E168=""),"empresa, ","")&amp;IF(AND($U168="Sim",$F168=""),"editor, ","")&amp;IF(AND($K168="Concluído",$N168=""),"data de conclusão, ","")&amp;IF(AND($K168="Concluído",$R168=""),"link, ","")&amp;IF(AND($K168="Concluído",$L168=""),"quem liberou, ",""))=0,"OK","Falta "&amp;LEFT(IF($J168="","título, ","")&amp;IF($C168="","responsável, ","")&amp;IF($D168="","tipo, ","")&amp;IF($I168="","canal, ","")&amp;IF($H168="","município, ","")&amp;IF(AND($U168="Sim",$E168=""),"empresa, ","")&amp;IF(AND($U168="Sim",$F168=""),"editor, ","")&amp;IF(AND($K168="Concluído",$N168=""),"data de conclusão, ","")&amp;IF(AND($K168="Concluído",$R168=""),"link, ","")&amp;IF(AND($K168="Concluído",$L168=""),"quem liberou, ",""),LEN(IF($J168="","título, ","")&amp;IF($C168="","responsável, ","")&amp;IF($D168="","tipo, ","")&amp;IF($I168="","canal, ","")&amp;IF($H168="","município, ","")&amp;IF(AND($U168="Sim",$E168=""),"empresa, ","")&amp;IF(AND($U168="Sim",$F168=""),"editor, ","")&amp;IF(AND($K168="Concluído",$N168=""),"data de conclusão, ","")&amp;IF(AND($K168="Concluído",$R168=""),"link, ","")&amp;IF(AND($K168="Concluído",$L168=""),"quem liberou, ",""))-2)))</f>
        <v/>
      </c>
      <c r="R168" s="38"/>
      <c r="S168" s="38"/>
      <c r="T168" s="38"/>
      <c r="U168" s="40" t="str">
        <f aca="false">IF($A168="","",IFERROR(INDEX(Listas!$E$5:$E$64,MATCH($D168,Listas!$C$5:$C$64,0)),"Não"))</f>
        <v/>
      </c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9" t="str">
        <f aca="false">IF(OR($A169="",$D169=""),"",$A169+IFERROR(INDEX(Listas!$D$5:$D$64,MATCH($D169,Listas!$C$5:$C$64,0)),3))</f>
        <v/>
      </c>
      <c r="N169" s="37"/>
      <c r="O169" s="40" t="str">
        <f aca="false">IF($A169="","",IF($K169="Concluído","Sim","Não"))</f>
        <v/>
      </c>
      <c r="P169" s="40" t="str">
        <f aca="true">IF($A169="","",IF($K169="Stand-by","Stand-by",IF($K169="Concluído","Concluída",IF(AND($M169&lt;&gt;"",$M169&lt;TODAY()),"Atrasada","Em dia"))))</f>
        <v/>
      </c>
      <c r="Q169" s="40" t="str">
        <f aca="false">IF($A169="","",IF(LEN(IF($J169="","título, ","")&amp;IF($C169="","responsável, ","")&amp;IF($D169="","tipo, ","")&amp;IF($I169="","canal, ","")&amp;IF($H169="","município, ","")&amp;IF(AND($U169="Sim",$E169=""),"empresa, ","")&amp;IF(AND($U169="Sim",$F169=""),"editor, ","")&amp;IF(AND($K169="Concluído",$N169=""),"data de conclusão, ","")&amp;IF(AND($K169="Concluído",$R169=""),"link, ","")&amp;IF(AND($K169="Concluído",$L169=""),"quem liberou, ",""))=0,"OK","Falta "&amp;LEFT(IF($J169="","título, ","")&amp;IF($C169="","responsável, ","")&amp;IF($D169="","tipo, ","")&amp;IF($I169="","canal, ","")&amp;IF($H169="","município, ","")&amp;IF(AND($U169="Sim",$E169=""),"empresa, ","")&amp;IF(AND($U169="Sim",$F169=""),"editor, ","")&amp;IF(AND($K169="Concluído",$N169=""),"data de conclusão, ","")&amp;IF(AND($K169="Concluído",$R169=""),"link, ","")&amp;IF(AND($K169="Concluído",$L169=""),"quem liberou, ",""),LEN(IF($J169="","título, ","")&amp;IF($C169="","responsável, ","")&amp;IF($D169="","tipo, ","")&amp;IF($I169="","canal, ","")&amp;IF($H169="","município, ","")&amp;IF(AND($U169="Sim",$E169=""),"empresa, ","")&amp;IF(AND($U169="Sim",$F169=""),"editor, ","")&amp;IF(AND($K169="Concluído",$N169=""),"data de conclusão, ","")&amp;IF(AND($K169="Concluído",$R169=""),"link, ","")&amp;IF(AND($K169="Concluído",$L169=""),"quem liberou, ",""))-2)))</f>
        <v/>
      </c>
      <c r="R169" s="38"/>
      <c r="S169" s="38"/>
      <c r="T169" s="38"/>
      <c r="U169" s="40" t="str">
        <f aca="false">IF($A169="","",IFERROR(INDEX(Listas!$E$5:$E$64,MATCH($D169,Listas!$C$5:$C$64,0)),"Não"))</f>
        <v/>
      </c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9" t="str">
        <f aca="false">IF(OR($A170="",$D170=""),"",$A170+IFERROR(INDEX(Listas!$D$5:$D$64,MATCH($D170,Listas!$C$5:$C$64,0)),3))</f>
        <v/>
      </c>
      <c r="N170" s="37"/>
      <c r="O170" s="40" t="str">
        <f aca="false">IF($A170="","",IF($K170="Concluído","Sim","Não"))</f>
        <v/>
      </c>
      <c r="P170" s="40" t="str">
        <f aca="true">IF($A170="","",IF($K170="Stand-by","Stand-by",IF($K170="Concluído","Concluída",IF(AND($M170&lt;&gt;"",$M170&lt;TODAY()),"Atrasada","Em dia"))))</f>
        <v/>
      </c>
      <c r="Q170" s="40" t="str">
        <f aca="false">IF($A170="","",IF(LEN(IF($J170="","título, ","")&amp;IF($C170="","responsável, ","")&amp;IF($D170="","tipo, ","")&amp;IF($I170="","canal, ","")&amp;IF($H170="","município, ","")&amp;IF(AND($U170="Sim",$E170=""),"empresa, ","")&amp;IF(AND($U170="Sim",$F170=""),"editor, ","")&amp;IF(AND($K170="Concluído",$N170=""),"data de conclusão, ","")&amp;IF(AND($K170="Concluído",$R170=""),"link, ","")&amp;IF(AND($K170="Concluído",$L170=""),"quem liberou, ",""))=0,"OK","Falta "&amp;LEFT(IF($J170="","título, ","")&amp;IF($C170="","responsável, ","")&amp;IF($D170="","tipo, ","")&amp;IF($I170="","canal, ","")&amp;IF($H170="","município, ","")&amp;IF(AND($U170="Sim",$E170=""),"empresa, ","")&amp;IF(AND($U170="Sim",$F170=""),"editor, ","")&amp;IF(AND($K170="Concluído",$N170=""),"data de conclusão, ","")&amp;IF(AND($K170="Concluído",$R170=""),"link, ","")&amp;IF(AND($K170="Concluído",$L170=""),"quem liberou, ",""),LEN(IF($J170="","título, ","")&amp;IF($C170="","responsável, ","")&amp;IF($D170="","tipo, ","")&amp;IF($I170="","canal, ","")&amp;IF($H170="","município, ","")&amp;IF(AND($U170="Sim",$E170=""),"empresa, ","")&amp;IF(AND($U170="Sim",$F170=""),"editor, ","")&amp;IF(AND($K170="Concluído",$N170=""),"data de conclusão, ","")&amp;IF(AND($K170="Concluído",$R170=""),"link, ","")&amp;IF(AND($K170="Concluído",$L170=""),"quem liberou, ",""))-2)))</f>
        <v/>
      </c>
      <c r="R170" s="38"/>
      <c r="S170" s="38"/>
      <c r="T170" s="38"/>
      <c r="U170" s="40" t="str">
        <f aca="false">IF($A170="","",IFERROR(INDEX(Listas!$E$5:$E$64,MATCH($D170,Listas!$C$5:$C$64,0)),"Não"))</f>
        <v/>
      </c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9" t="str">
        <f aca="false">IF(OR($A171="",$D171=""),"",$A171+IFERROR(INDEX(Listas!$D$5:$D$64,MATCH($D171,Listas!$C$5:$C$64,0)),3))</f>
        <v/>
      </c>
      <c r="N171" s="37"/>
      <c r="O171" s="40" t="str">
        <f aca="false">IF($A171="","",IF($K171="Concluído","Sim","Não"))</f>
        <v/>
      </c>
      <c r="P171" s="40" t="str">
        <f aca="true">IF($A171="","",IF($K171="Stand-by","Stand-by",IF($K171="Concluído","Concluída",IF(AND($M171&lt;&gt;"",$M171&lt;TODAY()),"Atrasada","Em dia"))))</f>
        <v/>
      </c>
      <c r="Q171" s="40" t="str">
        <f aca="false">IF($A171="","",IF(LEN(IF($J171="","título, ","")&amp;IF($C171="","responsável, ","")&amp;IF($D171="","tipo, ","")&amp;IF($I171="","canal, ","")&amp;IF($H171="","município, ","")&amp;IF(AND($U171="Sim",$E171=""),"empresa, ","")&amp;IF(AND($U171="Sim",$F171=""),"editor, ","")&amp;IF(AND($K171="Concluído",$N171=""),"data de conclusão, ","")&amp;IF(AND($K171="Concluído",$R171=""),"link, ","")&amp;IF(AND($K171="Concluído",$L171=""),"quem liberou, ",""))=0,"OK","Falta "&amp;LEFT(IF($J171="","título, ","")&amp;IF($C171="","responsável, ","")&amp;IF($D171="","tipo, ","")&amp;IF($I171="","canal, ","")&amp;IF($H171="","município, ","")&amp;IF(AND($U171="Sim",$E171=""),"empresa, ","")&amp;IF(AND($U171="Sim",$F171=""),"editor, ","")&amp;IF(AND($K171="Concluído",$N171=""),"data de conclusão, ","")&amp;IF(AND($K171="Concluído",$R171=""),"link, ","")&amp;IF(AND($K171="Concluído",$L171=""),"quem liberou, ",""),LEN(IF($J171="","título, ","")&amp;IF($C171="","responsável, ","")&amp;IF($D171="","tipo, ","")&amp;IF($I171="","canal, ","")&amp;IF($H171="","município, ","")&amp;IF(AND($U171="Sim",$E171=""),"empresa, ","")&amp;IF(AND($U171="Sim",$F171=""),"editor, ","")&amp;IF(AND($K171="Concluído",$N171=""),"data de conclusão, ","")&amp;IF(AND($K171="Concluído",$R171=""),"link, ","")&amp;IF(AND($K171="Concluído",$L171=""),"quem liberou, ",""))-2)))</f>
        <v/>
      </c>
      <c r="R171" s="38"/>
      <c r="S171" s="38"/>
      <c r="T171" s="38"/>
      <c r="U171" s="40" t="str">
        <f aca="false">IF($A171="","",IFERROR(INDEX(Listas!$E$5:$E$64,MATCH($D171,Listas!$C$5:$C$64,0)),"Não"))</f>
        <v/>
      </c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9" t="str">
        <f aca="false">IF(OR($A172="",$D172=""),"",$A172+IFERROR(INDEX(Listas!$D$5:$D$64,MATCH($D172,Listas!$C$5:$C$64,0)),3))</f>
        <v/>
      </c>
      <c r="N172" s="37"/>
      <c r="O172" s="40" t="str">
        <f aca="false">IF($A172="","",IF($K172="Concluído","Sim","Não"))</f>
        <v/>
      </c>
      <c r="P172" s="40" t="str">
        <f aca="true">IF($A172="","",IF($K172="Stand-by","Stand-by",IF($K172="Concluído","Concluída",IF(AND($M172&lt;&gt;"",$M172&lt;TODAY()),"Atrasada","Em dia"))))</f>
        <v/>
      </c>
      <c r="Q172" s="40" t="str">
        <f aca="false">IF($A172="","",IF(LEN(IF($J172="","título, ","")&amp;IF($C172="","responsável, ","")&amp;IF($D172="","tipo, ","")&amp;IF($I172="","canal, ","")&amp;IF($H172="","município, ","")&amp;IF(AND($U172="Sim",$E172=""),"empresa, ","")&amp;IF(AND($U172="Sim",$F172=""),"editor, ","")&amp;IF(AND($K172="Concluído",$N172=""),"data de conclusão, ","")&amp;IF(AND($K172="Concluído",$R172=""),"link, ","")&amp;IF(AND($K172="Concluído",$L172=""),"quem liberou, ",""))=0,"OK","Falta "&amp;LEFT(IF($J172="","título, ","")&amp;IF($C172="","responsável, ","")&amp;IF($D172="","tipo, ","")&amp;IF($I172="","canal, ","")&amp;IF($H172="","município, ","")&amp;IF(AND($U172="Sim",$E172=""),"empresa, ","")&amp;IF(AND($U172="Sim",$F172=""),"editor, ","")&amp;IF(AND($K172="Concluído",$N172=""),"data de conclusão, ","")&amp;IF(AND($K172="Concluído",$R172=""),"link, ","")&amp;IF(AND($K172="Concluído",$L172=""),"quem liberou, ",""),LEN(IF($J172="","título, ","")&amp;IF($C172="","responsável, ","")&amp;IF($D172="","tipo, ","")&amp;IF($I172="","canal, ","")&amp;IF($H172="","município, ","")&amp;IF(AND($U172="Sim",$E172=""),"empresa, ","")&amp;IF(AND($U172="Sim",$F172=""),"editor, ","")&amp;IF(AND($K172="Concluído",$N172=""),"data de conclusão, ","")&amp;IF(AND($K172="Concluído",$R172=""),"link, ","")&amp;IF(AND($K172="Concluído",$L172=""),"quem liberou, ",""))-2)))</f>
        <v/>
      </c>
      <c r="R172" s="38"/>
      <c r="S172" s="38"/>
      <c r="T172" s="38"/>
      <c r="U172" s="40" t="str">
        <f aca="false">IF($A172="","",IFERROR(INDEX(Listas!$E$5:$E$64,MATCH($D172,Listas!$C$5:$C$64,0)),"Não"))</f>
        <v/>
      </c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9" t="str">
        <f aca="false">IF(OR($A173="",$D173=""),"",$A173+IFERROR(INDEX(Listas!$D$5:$D$64,MATCH($D173,Listas!$C$5:$C$64,0)),3))</f>
        <v/>
      </c>
      <c r="N173" s="37"/>
      <c r="O173" s="40" t="str">
        <f aca="false">IF($A173="","",IF($K173="Concluído","Sim","Não"))</f>
        <v/>
      </c>
      <c r="P173" s="40" t="str">
        <f aca="true">IF($A173="","",IF($K173="Stand-by","Stand-by",IF($K173="Concluído","Concluída",IF(AND($M173&lt;&gt;"",$M173&lt;TODAY()),"Atrasada","Em dia"))))</f>
        <v/>
      </c>
      <c r="Q173" s="40" t="str">
        <f aca="false">IF($A173="","",IF(LEN(IF($J173="","título, ","")&amp;IF($C173="","responsável, ","")&amp;IF($D173="","tipo, ","")&amp;IF($I173="","canal, ","")&amp;IF($H173="","município, ","")&amp;IF(AND($U173="Sim",$E173=""),"empresa, ","")&amp;IF(AND($U173="Sim",$F173=""),"editor, ","")&amp;IF(AND($K173="Concluído",$N173=""),"data de conclusão, ","")&amp;IF(AND($K173="Concluído",$R173=""),"link, ","")&amp;IF(AND($K173="Concluído",$L173=""),"quem liberou, ",""))=0,"OK","Falta "&amp;LEFT(IF($J173="","título, ","")&amp;IF($C173="","responsável, ","")&amp;IF($D173="","tipo, ","")&amp;IF($I173="","canal, ","")&amp;IF($H173="","município, ","")&amp;IF(AND($U173="Sim",$E173=""),"empresa, ","")&amp;IF(AND($U173="Sim",$F173=""),"editor, ","")&amp;IF(AND($K173="Concluído",$N173=""),"data de conclusão, ","")&amp;IF(AND($K173="Concluído",$R173=""),"link, ","")&amp;IF(AND($K173="Concluído",$L173=""),"quem liberou, ",""),LEN(IF($J173="","título, ","")&amp;IF($C173="","responsável, ","")&amp;IF($D173="","tipo, ","")&amp;IF($I173="","canal, ","")&amp;IF($H173="","município, ","")&amp;IF(AND($U173="Sim",$E173=""),"empresa, ","")&amp;IF(AND($U173="Sim",$F173=""),"editor, ","")&amp;IF(AND($K173="Concluído",$N173=""),"data de conclusão, ","")&amp;IF(AND($K173="Concluído",$R173=""),"link, ","")&amp;IF(AND($K173="Concluído",$L173=""),"quem liberou, ",""))-2)))</f>
        <v/>
      </c>
      <c r="R173" s="38"/>
      <c r="S173" s="38"/>
      <c r="T173" s="38"/>
      <c r="U173" s="40" t="str">
        <f aca="false">IF($A173="","",IFERROR(INDEX(Listas!$E$5:$E$64,MATCH($D173,Listas!$C$5:$C$64,0)),"Não"))</f>
        <v/>
      </c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9" t="str">
        <f aca="false">IF(OR($A174="",$D174=""),"",$A174+IFERROR(INDEX(Listas!$D$5:$D$64,MATCH($D174,Listas!$C$5:$C$64,0)),3))</f>
        <v/>
      </c>
      <c r="N174" s="37"/>
      <c r="O174" s="40" t="str">
        <f aca="false">IF($A174="","",IF($K174="Concluído","Sim","Não"))</f>
        <v/>
      </c>
      <c r="P174" s="40" t="str">
        <f aca="true">IF($A174="","",IF($K174="Stand-by","Stand-by",IF($K174="Concluído","Concluída",IF(AND($M174&lt;&gt;"",$M174&lt;TODAY()),"Atrasada","Em dia"))))</f>
        <v/>
      </c>
      <c r="Q174" s="40" t="str">
        <f aca="false">IF($A174="","",IF(LEN(IF($J174="","título, ","")&amp;IF($C174="","responsável, ","")&amp;IF($D174="","tipo, ","")&amp;IF($I174="","canal, ","")&amp;IF($H174="","município, ","")&amp;IF(AND($U174="Sim",$E174=""),"empresa, ","")&amp;IF(AND($U174="Sim",$F174=""),"editor, ","")&amp;IF(AND($K174="Concluído",$N174=""),"data de conclusão, ","")&amp;IF(AND($K174="Concluído",$R174=""),"link, ","")&amp;IF(AND($K174="Concluído",$L174=""),"quem liberou, ",""))=0,"OK","Falta "&amp;LEFT(IF($J174="","título, ","")&amp;IF($C174="","responsável, ","")&amp;IF($D174="","tipo, ","")&amp;IF($I174="","canal, ","")&amp;IF($H174="","município, ","")&amp;IF(AND($U174="Sim",$E174=""),"empresa, ","")&amp;IF(AND($U174="Sim",$F174=""),"editor, ","")&amp;IF(AND($K174="Concluído",$N174=""),"data de conclusão, ","")&amp;IF(AND($K174="Concluído",$R174=""),"link, ","")&amp;IF(AND($K174="Concluído",$L174=""),"quem liberou, ",""),LEN(IF($J174="","título, ","")&amp;IF($C174="","responsável, ","")&amp;IF($D174="","tipo, ","")&amp;IF($I174="","canal, ","")&amp;IF($H174="","município, ","")&amp;IF(AND($U174="Sim",$E174=""),"empresa, ","")&amp;IF(AND($U174="Sim",$F174=""),"editor, ","")&amp;IF(AND($K174="Concluído",$N174=""),"data de conclusão, ","")&amp;IF(AND($K174="Concluído",$R174=""),"link, ","")&amp;IF(AND($K174="Concluído",$L174=""),"quem liberou, ",""))-2)))</f>
        <v/>
      </c>
      <c r="R174" s="38"/>
      <c r="S174" s="38"/>
      <c r="T174" s="38"/>
      <c r="U174" s="40" t="str">
        <f aca="false">IF($A174="","",IFERROR(INDEX(Listas!$E$5:$E$64,MATCH($D174,Listas!$C$5:$C$64,0)),"Não"))</f>
        <v/>
      </c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9" t="str">
        <f aca="false">IF(OR($A175="",$D175=""),"",$A175+IFERROR(INDEX(Listas!$D$5:$D$64,MATCH($D175,Listas!$C$5:$C$64,0)),3))</f>
        <v/>
      </c>
      <c r="N175" s="37"/>
      <c r="O175" s="40" t="str">
        <f aca="false">IF($A175="","",IF($K175="Concluído","Sim","Não"))</f>
        <v/>
      </c>
      <c r="P175" s="40" t="str">
        <f aca="true">IF($A175="","",IF($K175="Stand-by","Stand-by",IF($K175="Concluído","Concluída",IF(AND($M175&lt;&gt;"",$M175&lt;TODAY()),"Atrasada","Em dia"))))</f>
        <v/>
      </c>
      <c r="Q175" s="40" t="str">
        <f aca="false">IF($A175="","",IF(LEN(IF($J175="","título, ","")&amp;IF($C175="","responsável, ","")&amp;IF($D175="","tipo, ","")&amp;IF($I175="","canal, ","")&amp;IF($H175="","município, ","")&amp;IF(AND($U175="Sim",$E175=""),"empresa, ","")&amp;IF(AND($U175="Sim",$F175=""),"editor, ","")&amp;IF(AND($K175="Concluído",$N175=""),"data de conclusão, ","")&amp;IF(AND($K175="Concluído",$R175=""),"link, ","")&amp;IF(AND($K175="Concluído",$L175=""),"quem liberou, ",""))=0,"OK","Falta "&amp;LEFT(IF($J175="","título, ","")&amp;IF($C175="","responsável, ","")&amp;IF($D175="","tipo, ","")&amp;IF($I175="","canal, ","")&amp;IF($H175="","município, ","")&amp;IF(AND($U175="Sim",$E175=""),"empresa, ","")&amp;IF(AND($U175="Sim",$F175=""),"editor, ","")&amp;IF(AND($K175="Concluído",$N175=""),"data de conclusão, ","")&amp;IF(AND($K175="Concluído",$R175=""),"link, ","")&amp;IF(AND($K175="Concluído",$L175=""),"quem liberou, ",""),LEN(IF($J175="","título, ","")&amp;IF($C175="","responsável, ","")&amp;IF($D175="","tipo, ","")&amp;IF($I175="","canal, ","")&amp;IF($H175="","município, ","")&amp;IF(AND($U175="Sim",$E175=""),"empresa, ","")&amp;IF(AND($U175="Sim",$F175=""),"editor, ","")&amp;IF(AND($K175="Concluído",$N175=""),"data de conclusão, ","")&amp;IF(AND($K175="Concluído",$R175=""),"link, ","")&amp;IF(AND($K175="Concluído",$L175=""),"quem liberou, ",""))-2)))</f>
        <v/>
      </c>
      <c r="R175" s="38"/>
      <c r="S175" s="38"/>
      <c r="T175" s="38"/>
      <c r="U175" s="40" t="str">
        <f aca="false">IF($A175="","",IFERROR(INDEX(Listas!$E$5:$E$64,MATCH($D175,Listas!$C$5:$C$64,0)),"Não"))</f>
        <v/>
      </c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9" t="str">
        <f aca="false">IF(OR($A176="",$D176=""),"",$A176+IFERROR(INDEX(Listas!$D$5:$D$64,MATCH($D176,Listas!$C$5:$C$64,0)),3))</f>
        <v/>
      </c>
      <c r="N176" s="37"/>
      <c r="O176" s="40" t="str">
        <f aca="false">IF($A176="","",IF($K176="Concluído","Sim","Não"))</f>
        <v/>
      </c>
      <c r="P176" s="40" t="str">
        <f aca="true">IF($A176="","",IF($K176="Stand-by","Stand-by",IF($K176="Concluído","Concluída",IF(AND($M176&lt;&gt;"",$M176&lt;TODAY()),"Atrasada","Em dia"))))</f>
        <v/>
      </c>
      <c r="Q176" s="40" t="str">
        <f aca="false">IF($A176="","",IF(LEN(IF($J176="","título, ","")&amp;IF($C176="","responsável, ","")&amp;IF($D176="","tipo, ","")&amp;IF($I176="","canal, ","")&amp;IF($H176="","município, ","")&amp;IF(AND($U176="Sim",$E176=""),"empresa, ","")&amp;IF(AND($U176="Sim",$F176=""),"editor, ","")&amp;IF(AND($K176="Concluído",$N176=""),"data de conclusão, ","")&amp;IF(AND($K176="Concluído",$R176=""),"link, ","")&amp;IF(AND($K176="Concluído",$L176=""),"quem liberou, ",""))=0,"OK","Falta "&amp;LEFT(IF($J176="","título, ","")&amp;IF($C176="","responsável, ","")&amp;IF($D176="","tipo, ","")&amp;IF($I176="","canal, ","")&amp;IF($H176="","município, ","")&amp;IF(AND($U176="Sim",$E176=""),"empresa, ","")&amp;IF(AND($U176="Sim",$F176=""),"editor, ","")&amp;IF(AND($K176="Concluído",$N176=""),"data de conclusão, ","")&amp;IF(AND($K176="Concluído",$R176=""),"link, ","")&amp;IF(AND($K176="Concluído",$L176=""),"quem liberou, ",""),LEN(IF($J176="","título, ","")&amp;IF($C176="","responsável, ","")&amp;IF($D176="","tipo, ","")&amp;IF($I176="","canal, ","")&amp;IF($H176="","município, ","")&amp;IF(AND($U176="Sim",$E176=""),"empresa, ","")&amp;IF(AND($U176="Sim",$F176=""),"editor, ","")&amp;IF(AND($K176="Concluído",$N176=""),"data de conclusão, ","")&amp;IF(AND($K176="Concluído",$R176=""),"link, ","")&amp;IF(AND($K176="Concluído",$L176=""),"quem liberou, ",""))-2)))</f>
        <v/>
      </c>
      <c r="R176" s="38"/>
      <c r="S176" s="38"/>
      <c r="T176" s="38"/>
      <c r="U176" s="40" t="str">
        <f aca="false">IF($A176="","",IFERROR(INDEX(Listas!$E$5:$E$64,MATCH($D176,Listas!$C$5:$C$64,0)),"Não"))</f>
        <v/>
      </c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9" t="str">
        <f aca="false">IF(OR($A177="",$D177=""),"",$A177+IFERROR(INDEX(Listas!$D$5:$D$64,MATCH($D177,Listas!$C$5:$C$64,0)),3))</f>
        <v/>
      </c>
      <c r="N177" s="37"/>
      <c r="O177" s="40" t="str">
        <f aca="false">IF($A177="","",IF($K177="Concluído","Sim","Não"))</f>
        <v/>
      </c>
      <c r="P177" s="40" t="str">
        <f aca="true">IF($A177="","",IF($K177="Stand-by","Stand-by",IF($K177="Concluído","Concluída",IF(AND($M177&lt;&gt;"",$M177&lt;TODAY()),"Atrasada","Em dia"))))</f>
        <v/>
      </c>
      <c r="Q177" s="40" t="str">
        <f aca="false">IF($A177="","",IF(LEN(IF($J177="","título, ","")&amp;IF($C177="","responsável, ","")&amp;IF($D177="","tipo, ","")&amp;IF($I177="","canal, ","")&amp;IF($H177="","município, ","")&amp;IF(AND($U177="Sim",$E177=""),"empresa, ","")&amp;IF(AND($U177="Sim",$F177=""),"editor, ","")&amp;IF(AND($K177="Concluído",$N177=""),"data de conclusão, ","")&amp;IF(AND($K177="Concluído",$R177=""),"link, ","")&amp;IF(AND($K177="Concluído",$L177=""),"quem liberou, ",""))=0,"OK","Falta "&amp;LEFT(IF($J177="","título, ","")&amp;IF($C177="","responsável, ","")&amp;IF($D177="","tipo, ","")&amp;IF($I177="","canal, ","")&amp;IF($H177="","município, ","")&amp;IF(AND($U177="Sim",$E177=""),"empresa, ","")&amp;IF(AND($U177="Sim",$F177=""),"editor, ","")&amp;IF(AND($K177="Concluído",$N177=""),"data de conclusão, ","")&amp;IF(AND($K177="Concluído",$R177=""),"link, ","")&amp;IF(AND($K177="Concluído",$L177=""),"quem liberou, ",""),LEN(IF($J177="","título, ","")&amp;IF($C177="","responsável, ","")&amp;IF($D177="","tipo, ","")&amp;IF($I177="","canal, ","")&amp;IF($H177="","município, ","")&amp;IF(AND($U177="Sim",$E177=""),"empresa, ","")&amp;IF(AND($U177="Sim",$F177=""),"editor, ","")&amp;IF(AND($K177="Concluído",$N177=""),"data de conclusão, ","")&amp;IF(AND($K177="Concluído",$R177=""),"link, ","")&amp;IF(AND($K177="Concluído",$L177=""),"quem liberou, ",""))-2)))</f>
        <v/>
      </c>
      <c r="R177" s="38"/>
      <c r="S177" s="38"/>
      <c r="T177" s="38"/>
      <c r="U177" s="40" t="str">
        <f aca="false">IF($A177="","",IFERROR(INDEX(Listas!$E$5:$E$64,MATCH($D177,Listas!$C$5:$C$64,0)),"Não"))</f>
        <v/>
      </c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9" t="str">
        <f aca="false">IF(OR($A178="",$D178=""),"",$A178+IFERROR(INDEX(Listas!$D$5:$D$64,MATCH($D178,Listas!$C$5:$C$64,0)),3))</f>
        <v/>
      </c>
      <c r="N178" s="37"/>
      <c r="O178" s="40" t="str">
        <f aca="false">IF($A178="","",IF($K178="Concluído","Sim","Não"))</f>
        <v/>
      </c>
      <c r="P178" s="40" t="str">
        <f aca="true">IF($A178="","",IF($K178="Stand-by","Stand-by",IF($K178="Concluído","Concluída",IF(AND($M178&lt;&gt;"",$M178&lt;TODAY()),"Atrasada","Em dia"))))</f>
        <v/>
      </c>
      <c r="Q178" s="40" t="str">
        <f aca="false">IF($A178="","",IF(LEN(IF($J178="","título, ","")&amp;IF($C178="","responsável, ","")&amp;IF($D178="","tipo, ","")&amp;IF($I178="","canal, ","")&amp;IF($H178="","município, ","")&amp;IF(AND($U178="Sim",$E178=""),"empresa, ","")&amp;IF(AND($U178="Sim",$F178=""),"editor, ","")&amp;IF(AND($K178="Concluído",$N178=""),"data de conclusão, ","")&amp;IF(AND($K178="Concluído",$R178=""),"link, ","")&amp;IF(AND($K178="Concluído",$L178=""),"quem liberou, ",""))=0,"OK","Falta "&amp;LEFT(IF($J178="","título, ","")&amp;IF($C178="","responsável, ","")&amp;IF($D178="","tipo, ","")&amp;IF($I178="","canal, ","")&amp;IF($H178="","município, ","")&amp;IF(AND($U178="Sim",$E178=""),"empresa, ","")&amp;IF(AND($U178="Sim",$F178=""),"editor, ","")&amp;IF(AND($K178="Concluído",$N178=""),"data de conclusão, ","")&amp;IF(AND($K178="Concluído",$R178=""),"link, ","")&amp;IF(AND($K178="Concluído",$L178=""),"quem liberou, ",""),LEN(IF($J178="","título, ","")&amp;IF($C178="","responsável, ","")&amp;IF($D178="","tipo, ","")&amp;IF($I178="","canal, ","")&amp;IF($H178="","município, ","")&amp;IF(AND($U178="Sim",$E178=""),"empresa, ","")&amp;IF(AND($U178="Sim",$F178=""),"editor, ","")&amp;IF(AND($K178="Concluído",$N178=""),"data de conclusão, ","")&amp;IF(AND($K178="Concluído",$R178=""),"link, ","")&amp;IF(AND($K178="Concluído",$L178=""),"quem liberou, ",""))-2)))</f>
        <v/>
      </c>
      <c r="R178" s="38"/>
      <c r="S178" s="38"/>
      <c r="T178" s="38"/>
      <c r="U178" s="40" t="str">
        <f aca="false">IF($A178="","",IFERROR(INDEX(Listas!$E$5:$E$64,MATCH($D178,Listas!$C$5:$C$64,0)),"Não"))</f>
        <v/>
      </c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9" t="str">
        <f aca="false">IF(OR($A179="",$D179=""),"",$A179+IFERROR(INDEX(Listas!$D$5:$D$64,MATCH($D179,Listas!$C$5:$C$64,0)),3))</f>
        <v/>
      </c>
      <c r="N179" s="37"/>
      <c r="O179" s="40" t="str">
        <f aca="false">IF($A179="","",IF($K179="Concluído","Sim","Não"))</f>
        <v/>
      </c>
      <c r="P179" s="40" t="str">
        <f aca="true">IF($A179="","",IF($K179="Stand-by","Stand-by",IF($K179="Concluído","Concluída",IF(AND($M179&lt;&gt;"",$M179&lt;TODAY()),"Atrasada","Em dia"))))</f>
        <v/>
      </c>
      <c r="Q179" s="40" t="str">
        <f aca="false">IF($A179="","",IF(LEN(IF($J179="","título, ","")&amp;IF($C179="","responsável, ","")&amp;IF($D179="","tipo, ","")&amp;IF($I179="","canal, ","")&amp;IF($H179="","município, ","")&amp;IF(AND($U179="Sim",$E179=""),"empresa, ","")&amp;IF(AND($U179="Sim",$F179=""),"editor, ","")&amp;IF(AND($K179="Concluído",$N179=""),"data de conclusão, ","")&amp;IF(AND($K179="Concluído",$R179=""),"link, ","")&amp;IF(AND($K179="Concluído",$L179=""),"quem liberou, ",""))=0,"OK","Falta "&amp;LEFT(IF($J179="","título, ","")&amp;IF($C179="","responsável, ","")&amp;IF($D179="","tipo, ","")&amp;IF($I179="","canal, ","")&amp;IF($H179="","município, ","")&amp;IF(AND($U179="Sim",$E179=""),"empresa, ","")&amp;IF(AND($U179="Sim",$F179=""),"editor, ","")&amp;IF(AND($K179="Concluído",$N179=""),"data de conclusão, ","")&amp;IF(AND($K179="Concluído",$R179=""),"link, ","")&amp;IF(AND($K179="Concluído",$L179=""),"quem liberou, ",""),LEN(IF($J179="","título, ","")&amp;IF($C179="","responsável, ","")&amp;IF($D179="","tipo, ","")&amp;IF($I179="","canal, ","")&amp;IF($H179="","município, ","")&amp;IF(AND($U179="Sim",$E179=""),"empresa, ","")&amp;IF(AND($U179="Sim",$F179=""),"editor, ","")&amp;IF(AND($K179="Concluído",$N179=""),"data de conclusão, ","")&amp;IF(AND($K179="Concluído",$R179=""),"link, ","")&amp;IF(AND($K179="Concluído",$L179=""),"quem liberou, ",""))-2)))</f>
        <v/>
      </c>
      <c r="R179" s="38"/>
      <c r="S179" s="38"/>
      <c r="T179" s="38"/>
      <c r="U179" s="40" t="str">
        <f aca="false">IF($A179="","",IFERROR(INDEX(Listas!$E$5:$E$64,MATCH($D179,Listas!$C$5:$C$64,0)),"Não"))</f>
        <v/>
      </c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9" t="str">
        <f aca="false">IF(OR($A180="",$D180=""),"",$A180+IFERROR(INDEX(Listas!$D$5:$D$64,MATCH($D180,Listas!$C$5:$C$64,0)),3))</f>
        <v/>
      </c>
      <c r="N180" s="37"/>
      <c r="O180" s="40" t="str">
        <f aca="false">IF($A180="","",IF($K180="Concluído","Sim","Não"))</f>
        <v/>
      </c>
      <c r="P180" s="40" t="str">
        <f aca="true">IF($A180="","",IF($K180="Stand-by","Stand-by",IF($K180="Concluído","Concluída",IF(AND($M180&lt;&gt;"",$M180&lt;TODAY()),"Atrasada","Em dia"))))</f>
        <v/>
      </c>
      <c r="Q180" s="40" t="str">
        <f aca="false">IF($A180="","",IF(LEN(IF($J180="","título, ","")&amp;IF($C180="","responsável, ","")&amp;IF($D180="","tipo, ","")&amp;IF($I180="","canal, ","")&amp;IF($H180="","município, ","")&amp;IF(AND($U180="Sim",$E180=""),"empresa, ","")&amp;IF(AND($U180="Sim",$F180=""),"editor, ","")&amp;IF(AND($K180="Concluído",$N180=""),"data de conclusão, ","")&amp;IF(AND($K180="Concluído",$R180=""),"link, ","")&amp;IF(AND($K180="Concluído",$L180=""),"quem liberou, ",""))=0,"OK","Falta "&amp;LEFT(IF($J180="","título, ","")&amp;IF($C180="","responsável, ","")&amp;IF($D180="","tipo, ","")&amp;IF($I180="","canal, ","")&amp;IF($H180="","município, ","")&amp;IF(AND($U180="Sim",$E180=""),"empresa, ","")&amp;IF(AND($U180="Sim",$F180=""),"editor, ","")&amp;IF(AND($K180="Concluído",$N180=""),"data de conclusão, ","")&amp;IF(AND($K180="Concluído",$R180=""),"link, ","")&amp;IF(AND($K180="Concluído",$L180=""),"quem liberou, ",""),LEN(IF($J180="","título, ","")&amp;IF($C180="","responsável, ","")&amp;IF($D180="","tipo, ","")&amp;IF($I180="","canal, ","")&amp;IF($H180="","município, ","")&amp;IF(AND($U180="Sim",$E180=""),"empresa, ","")&amp;IF(AND($U180="Sim",$F180=""),"editor, ","")&amp;IF(AND($K180="Concluído",$N180=""),"data de conclusão, ","")&amp;IF(AND($K180="Concluído",$R180=""),"link, ","")&amp;IF(AND($K180="Concluído",$L180=""),"quem liberou, ",""))-2)))</f>
        <v/>
      </c>
      <c r="R180" s="38"/>
      <c r="S180" s="38"/>
      <c r="T180" s="38"/>
      <c r="U180" s="40" t="str">
        <f aca="false">IF($A180="","",IFERROR(INDEX(Listas!$E$5:$E$64,MATCH($D180,Listas!$C$5:$C$64,0)),"Não"))</f>
        <v/>
      </c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9" t="str">
        <f aca="false">IF(OR($A181="",$D181=""),"",$A181+IFERROR(INDEX(Listas!$D$5:$D$64,MATCH($D181,Listas!$C$5:$C$64,0)),3))</f>
        <v/>
      </c>
      <c r="N181" s="37"/>
      <c r="O181" s="40" t="str">
        <f aca="false">IF($A181="","",IF($K181="Concluído","Sim","Não"))</f>
        <v/>
      </c>
      <c r="P181" s="40" t="str">
        <f aca="true">IF($A181="","",IF($K181="Stand-by","Stand-by",IF($K181="Concluído","Concluída",IF(AND($M181&lt;&gt;"",$M181&lt;TODAY()),"Atrasada","Em dia"))))</f>
        <v/>
      </c>
      <c r="Q181" s="40" t="str">
        <f aca="false">IF($A181="","",IF(LEN(IF($J181="","título, ","")&amp;IF($C181="","responsável, ","")&amp;IF($D181="","tipo, ","")&amp;IF($I181="","canal, ","")&amp;IF($H181="","município, ","")&amp;IF(AND($U181="Sim",$E181=""),"empresa, ","")&amp;IF(AND($U181="Sim",$F181=""),"editor, ","")&amp;IF(AND($K181="Concluído",$N181=""),"data de conclusão, ","")&amp;IF(AND($K181="Concluído",$R181=""),"link, ","")&amp;IF(AND($K181="Concluído",$L181=""),"quem liberou, ",""))=0,"OK","Falta "&amp;LEFT(IF($J181="","título, ","")&amp;IF($C181="","responsável, ","")&amp;IF($D181="","tipo, ","")&amp;IF($I181="","canal, ","")&amp;IF($H181="","município, ","")&amp;IF(AND($U181="Sim",$E181=""),"empresa, ","")&amp;IF(AND($U181="Sim",$F181=""),"editor, ","")&amp;IF(AND($K181="Concluído",$N181=""),"data de conclusão, ","")&amp;IF(AND($K181="Concluído",$R181=""),"link, ","")&amp;IF(AND($K181="Concluído",$L181=""),"quem liberou, ",""),LEN(IF($J181="","título, ","")&amp;IF($C181="","responsável, ","")&amp;IF($D181="","tipo, ","")&amp;IF($I181="","canal, ","")&amp;IF($H181="","município, ","")&amp;IF(AND($U181="Sim",$E181=""),"empresa, ","")&amp;IF(AND($U181="Sim",$F181=""),"editor, ","")&amp;IF(AND($K181="Concluído",$N181=""),"data de conclusão, ","")&amp;IF(AND($K181="Concluído",$R181=""),"link, ","")&amp;IF(AND($K181="Concluído",$L181=""),"quem liberou, ",""))-2)))</f>
        <v/>
      </c>
      <c r="R181" s="38"/>
      <c r="S181" s="38"/>
      <c r="T181" s="38"/>
      <c r="U181" s="40" t="str">
        <f aca="false">IF($A181="","",IFERROR(INDEX(Listas!$E$5:$E$64,MATCH($D181,Listas!$C$5:$C$64,0)),"Não"))</f>
        <v/>
      </c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9" t="str">
        <f aca="false">IF(OR($A182="",$D182=""),"",$A182+IFERROR(INDEX(Listas!$D$5:$D$64,MATCH($D182,Listas!$C$5:$C$64,0)),3))</f>
        <v/>
      </c>
      <c r="N182" s="37"/>
      <c r="O182" s="40" t="str">
        <f aca="false">IF($A182="","",IF($K182="Concluído","Sim","Não"))</f>
        <v/>
      </c>
      <c r="P182" s="40" t="str">
        <f aca="true">IF($A182="","",IF($K182="Stand-by","Stand-by",IF($K182="Concluído","Concluída",IF(AND($M182&lt;&gt;"",$M182&lt;TODAY()),"Atrasada","Em dia"))))</f>
        <v/>
      </c>
      <c r="Q182" s="40" t="str">
        <f aca="false">IF($A182="","",IF(LEN(IF($J182="","título, ","")&amp;IF($C182="","responsável, ","")&amp;IF($D182="","tipo, ","")&amp;IF($I182="","canal, ","")&amp;IF($H182="","município, ","")&amp;IF(AND($U182="Sim",$E182=""),"empresa, ","")&amp;IF(AND($U182="Sim",$F182=""),"editor, ","")&amp;IF(AND($K182="Concluído",$N182=""),"data de conclusão, ","")&amp;IF(AND($K182="Concluído",$R182=""),"link, ","")&amp;IF(AND($K182="Concluído",$L182=""),"quem liberou, ",""))=0,"OK","Falta "&amp;LEFT(IF($J182="","título, ","")&amp;IF($C182="","responsável, ","")&amp;IF($D182="","tipo, ","")&amp;IF($I182="","canal, ","")&amp;IF($H182="","município, ","")&amp;IF(AND($U182="Sim",$E182=""),"empresa, ","")&amp;IF(AND($U182="Sim",$F182=""),"editor, ","")&amp;IF(AND($K182="Concluído",$N182=""),"data de conclusão, ","")&amp;IF(AND($K182="Concluído",$R182=""),"link, ","")&amp;IF(AND($K182="Concluído",$L182=""),"quem liberou, ",""),LEN(IF($J182="","título, ","")&amp;IF($C182="","responsável, ","")&amp;IF($D182="","tipo, ","")&amp;IF($I182="","canal, ","")&amp;IF($H182="","município, ","")&amp;IF(AND($U182="Sim",$E182=""),"empresa, ","")&amp;IF(AND($U182="Sim",$F182=""),"editor, ","")&amp;IF(AND($K182="Concluído",$N182=""),"data de conclusão, ","")&amp;IF(AND($K182="Concluído",$R182=""),"link, ","")&amp;IF(AND($K182="Concluído",$L182=""),"quem liberou, ",""))-2)))</f>
        <v/>
      </c>
      <c r="R182" s="38"/>
      <c r="S182" s="38"/>
      <c r="T182" s="38"/>
      <c r="U182" s="40" t="str">
        <f aca="false">IF($A182="","",IFERROR(INDEX(Listas!$E$5:$E$64,MATCH($D182,Listas!$C$5:$C$64,0)),"Não"))</f>
        <v/>
      </c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9" t="str">
        <f aca="false">IF(OR($A183="",$D183=""),"",$A183+IFERROR(INDEX(Listas!$D$5:$D$64,MATCH($D183,Listas!$C$5:$C$64,0)),3))</f>
        <v/>
      </c>
      <c r="N183" s="37"/>
      <c r="O183" s="40" t="str">
        <f aca="false">IF($A183="","",IF($K183="Concluído","Sim","Não"))</f>
        <v/>
      </c>
      <c r="P183" s="40" t="str">
        <f aca="true">IF($A183="","",IF($K183="Stand-by","Stand-by",IF($K183="Concluído","Concluída",IF(AND($M183&lt;&gt;"",$M183&lt;TODAY()),"Atrasada","Em dia"))))</f>
        <v/>
      </c>
      <c r="Q183" s="40" t="str">
        <f aca="false">IF($A183="","",IF(LEN(IF($J183="","título, ","")&amp;IF($C183="","responsável, ","")&amp;IF($D183="","tipo, ","")&amp;IF($I183="","canal, ","")&amp;IF($H183="","município, ","")&amp;IF(AND($U183="Sim",$E183=""),"empresa, ","")&amp;IF(AND($U183="Sim",$F183=""),"editor, ","")&amp;IF(AND($K183="Concluído",$N183=""),"data de conclusão, ","")&amp;IF(AND($K183="Concluído",$R183=""),"link, ","")&amp;IF(AND($K183="Concluído",$L183=""),"quem liberou, ",""))=0,"OK","Falta "&amp;LEFT(IF($J183="","título, ","")&amp;IF($C183="","responsável, ","")&amp;IF($D183="","tipo, ","")&amp;IF($I183="","canal, ","")&amp;IF($H183="","município, ","")&amp;IF(AND($U183="Sim",$E183=""),"empresa, ","")&amp;IF(AND($U183="Sim",$F183=""),"editor, ","")&amp;IF(AND($K183="Concluído",$N183=""),"data de conclusão, ","")&amp;IF(AND($K183="Concluído",$R183=""),"link, ","")&amp;IF(AND($K183="Concluído",$L183=""),"quem liberou, ",""),LEN(IF($J183="","título, ","")&amp;IF($C183="","responsável, ","")&amp;IF($D183="","tipo, ","")&amp;IF($I183="","canal, ","")&amp;IF($H183="","município, ","")&amp;IF(AND($U183="Sim",$E183=""),"empresa, ","")&amp;IF(AND($U183="Sim",$F183=""),"editor, ","")&amp;IF(AND($K183="Concluído",$N183=""),"data de conclusão, ","")&amp;IF(AND($K183="Concluído",$R183=""),"link, ","")&amp;IF(AND($K183="Concluído",$L183=""),"quem liberou, ",""))-2)))</f>
        <v/>
      </c>
      <c r="R183" s="38"/>
      <c r="S183" s="38"/>
      <c r="T183" s="38"/>
      <c r="U183" s="40" t="str">
        <f aca="false">IF($A183="","",IFERROR(INDEX(Listas!$E$5:$E$64,MATCH($D183,Listas!$C$5:$C$64,0)),"Não"))</f>
        <v/>
      </c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9" t="str">
        <f aca="false">IF(OR($A184="",$D184=""),"",$A184+IFERROR(INDEX(Listas!$D$5:$D$64,MATCH($D184,Listas!$C$5:$C$64,0)),3))</f>
        <v/>
      </c>
      <c r="N184" s="37"/>
      <c r="O184" s="40" t="str">
        <f aca="false">IF($A184="","",IF($K184="Concluído","Sim","Não"))</f>
        <v/>
      </c>
      <c r="P184" s="40" t="str">
        <f aca="true">IF($A184="","",IF($K184="Stand-by","Stand-by",IF($K184="Concluído","Concluída",IF(AND($M184&lt;&gt;"",$M184&lt;TODAY()),"Atrasada","Em dia"))))</f>
        <v/>
      </c>
      <c r="Q184" s="40" t="str">
        <f aca="false">IF($A184="","",IF(LEN(IF($J184="","título, ","")&amp;IF($C184="","responsável, ","")&amp;IF($D184="","tipo, ","")&amp;IF($I184="","canal, ","")&amp;IF($H184="","município, ","")&amp;IF(AND($U184="Sim",$E184=""),"empresa, ","")&amp;IF(AND($U184="Sim",$F184=""),"editor, ","")&amp;IF(AND($K184="Concluído",$N184=""),"data de conclusão, ","")&amp;IF(AND($K184="Concluído",$R184=""),"link, ","")&amp;IF(AND($K184="Concluído",$L184=""),"quem liberou, ",""))=0,"OK","Falta "&amp;LEFT(IF($J184="","título, ","")&amp;IF($C184="","responsável, ","")&amp;IF($D184="","tipo, ","")&amp;IF($I184="","canal, ","")&amp;IF($H184="","município, ","")&amp;IF(AND($U184="Sim",$E184=""),"empresa, ","")&amp;IF(AND($U184="Sim",$F184=""),"editor, ","")&amp;IF(AND($K184="Concluído",$N184=""),"data de conclusão, ","")&amp;IF(AND($K184="Concluído",$R184=""),"link, ","")&amp;IF(AND($K184="Concluído",$L184=""),"quem liberou, ",""),LEN(IF($J184="","título, ","")&amp;IF($C184="","responsável, ","")&amp;IF($D184="","tipo, ","")&amp;IF($I184="","canal, ","")&amp;IF($H184="","município, ","")&amp;IF(AND($U184="Sim",$E184=""),"empresa, ","")&amp;IF(AND($U184="Sim",$F184=""),"editor, ","")&amp;IF(AND($K184="Concluído",$N184=""),"data de conclusão, ","")&amp;IF(AND($K184="Concluído",$R184=""),"link, ","")&amp;IF(AND($K184="Concluído",$L184=""),"quem liberou, ",""))-2)))</f>
        <v/>
      </c>
      <c r="R184" s="38"/>
      <c r="S184" s="38"/>
      <c r="T184" s="38"/>
      <c r="U184" s="40" t="str">
        <f aca="false">IF($A184="","",IFERROR(INDEX(Listas!$E$5:$E$64,MATCH($D184,Listas!$C$5:$C$64,0)),"Não"))</f>
        <v/>
      </c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9" t="str">
        <f aca="false">IF(OR($A185="",$D185=""),"",$A185+IFERROR(INDEX(Listas!$D$5:$D$64,MATCH($D185,Listas!$C$5:$C$64,0)),3))</f>
        <v/>
      </c>
      <c r="N185" s="37"/>
      <c r="O185" s="40" t="str">
        <f aca="false">IF($A185="","",IF($K185="Concluído","Sim","Não"))</f>
        <v/>
      </c>
      <c r="P185" s="40" t="str">
        <f aca="true">IF($A185="","",IF($K185="Stand-by","Stand-by",IF($K185="Concluído","Concluída",IF(AND($M185&lt;&gt;"",$M185&lt;TODAY()),"Atrasada","Em dia"))))</f>
        <v/>
      </c>
      <c r="Q185" s="40" t="str">
        <f aca="false">IF($A185="","",IF(LEN(IF($J185="","título, ","")&amp;IF($C185="","responsável, ","")&amp;IF($D185="","tipo, ","")&amp;IF($I185="","canal, ","")&amp;IF($H185="","município, ","")&amp;IF(AND($U185="Sim",$E185=""),"empresa, ","")&amp;IF(AND($U185="Sim",$F185=""),"editor, ","")&amp;IF(AND($K185="Concluído",$N185=""),"data de conclusão, ","")&amp;IF(AND($K185="Concluído",$R185=""),"link, ","")&amp;IF(AND($K185="Concluído",$L185=""),"quem liberou, ",""))=0,"OK","Falta "&amp;LEFT(IF($J185="","título, ","")&amp;IF($C185="","responsável, ","")&amp;IF($D185="","tipo, ","")&amp;IF($I185="","canal, ","")&amp;IF($H185="","município, ","")&amp;IF(AND($U185="Sim",$E185=""),"empresa, ","")&amp;IF(AND($U185="Sim",$F185=""),"editor, ","")&amp;IF(AND($K185="Concluído",$N185=""),"data de conclusão, ","")&amp;IF(AND($K185="Concluído",$R185=""),"link, ","")&amp;IF(AND($K185="Concluído",$L185=""),"quem liberou, ",""),LEN(IF($J185="","título, ","")&amp;IF($C185="","responsável, ","")&amp;IF($D185="","tipo, ","")&amp;IF($I185="","canal, ","")&amp;IF($H185="","município, ","")&amp;IF(AND($U185="Sim",$E185=""),"empresa, ","")&amp;IF(AND($U185="Sim",$F185=""),"editor, ","")&amp;IF(AND($K185="Concluído",$N185=""),"data de conclusão, ","")&amp;IF(AND($K185="Concluído",$R185=""),"link, ","")&amp;IF(AND($K185="Concluído",$L185=""),"quem liberou, ",""))-2)))</f>
        <v/>
      </c>
      <c r="R185" s="38"/>
      <c r="S185" s="38"/>
      <c r="T185" s="38"/>
      <c r="U185" s="40" t="str">
        <f aca="false">IF($A185="","",IFERROR(INDEX(Listas!$E$5:$E$64,MATCH($D185,Listas!$C$5:$C$64,0)),"Não"))</f>
        <v/>
      </c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9" t="str">
        <f aca="false">IF(OR($A186="",$D186=""),"",$A186+IFERROR(INDEX(Listas!$D$5:$D$64,MATCH($D186,Listas!$C$5:$C$64,0)),3))</f>
        <v/>
      </c>
      <c r="N186" s="37"/>
      <c r="O186" s="40" t="str">
        <f aca="false">IF($A186="","",IF($K186="Concluído","Sim","Não"))</f>
        <v/>
      </c>
      <c r="P186" s="40" t="str">
        <f aca="true">IF($A186="","",IF($K186="Stand-by","Stand-by",IF($K186="Concluído","Concluída",IF(AND($M186&lt;&gt;"",$M186&lt;TODAY()),"Atrasada","Em dia"))))</f>
        <v/>
      </c>
      <c r="Q186" s="40" t="str">
        <f aca="false">IF($A186="","",IF(LEN(IF($J186="","título, ","")&amp;IF($C186="","responsável, ","")&amp;IF($D186="","tipo, ","")&amp;IF($I186="","canal, ","")&amp;IF($H186="","município, ","")&amp;IF(AND($U186="Sim",$E186=""),"empresa, ","")&amp;IF(AND($U186="Sim",$F186=""),"editor, ","")&amp;IF(AND($K186="Concluído",$N186=""),"data de conclusão, ","")&amp;IF(AND($K186="Concluído",$R186=""),"link, ","")&amp;IF(AND($K186="Concluído",$L186=""),"quem liberou, ",""))=0,"OK","Falta "&amp;LEFT(IF($J186="","título, ","")&amp;IF($C186="","responsável, ","")&amp;IF($D186="","tipo, ","")&amp;IF($I186="","canal, ","")&amp;IF($H186="","município, ","")&amp;IF(AND($U186="Sim",$E186=""),"empresa, ","")&amp;IF(AND($U186="Sim",$F186=""),"editor, ","")&amp;IF(AND($K186="Concluído",$N186=""),"data de conclusão, ","")&amp;IF(AND($K186="Concluído",$R186=""),"link, ","")&amp;IF(AND($K186="Concluído",$L186=""),"quem liberou, ",""),LEN(IF($J186="","título, ","")&amp;IF($C186="","responsável, ","")&amp;IF($D186="","tipo, ","")&amp;IF($I186="","canal, ","")&amp;IF($H186="","município, ","")&amp;IF(AND($U186="Sim",$E186=""),"empresa, ","")&amp;IF(AND($U186="Sim",$F186=""),"editor, ","")&amp;IF(AND($K186="Concluído",$N186=""),"data de conclusão, ","")&amp;IF(AND($K186="Concluído",$R186=""),"link, ","")&amp;IF(AND($K186="Concluído",$L186=""),"quem liberou, ",""))-2)))</f>
        <v/>
      </c>
      <c r="R186" s="38"/>
      <c r="S186" s="38"/>
      <c r="T186" s="38"/>
      <c r="U186" s="40" t="str">
        <f aca="false">IF($A186="","",IFERROR(INDEX(Listas!$E$5:$E$64,MATCH($D186,Listas!$C$5:$C$64,0)),"Não"))</f>
        <v/>
      </c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9" t="str">
        <f aca="false">IF(OR($A187="",$D187=""),"",$A187+IFERROR(INDEX(Listas!$D$5:$D$64,MATCH($D187,Listas!$C$5:$C$64,0)),3))</f>
        <v/>
      </c>
      <c r="N187" s="37"/>
      <c r="O187" s="40" t="str">
        <f aca="false">IF($A187="","",IF($K187="Concluído","Sim","Não"))</f>
        <v/>
      </c>
      <c r="P187" s="40" t="str">
        <f aca="true">IF($A187="","",IF($K187="Stand-by","Stand-by",IF($K187="Concluído","Concluída",IF(AND($M187&lt;&gt;"",$M187&lt;TODAY()),"Atrasada","Em dia"))))</f>
        <v/>
      </c>
      <c r="Q187" s="40" t="str">
        <f aca="false">IF($A187="","",IF(LEN(IF($J187="","título, ","")&amp;IF($C187="","responsável, ","")&amp;IF($D187="","tipo, ","")&amp;IF($I187="","canal, ","")&amp;IF($H187="","município, ","")&amp;IF(AND($U187="Sim",$E187=""),"empresa, ","")&amp;IF(AND($U187="Sim",$F187=""),"editor, ","")&amp;IF(AND($K187="Concluído",$N187=""),"data de conclusão, ","")&amp;IF(AND($K187="Concluído",$R187=""),"link, ","")&amp;IF(AND($K187="Concluído",$L187=""),"quem liberou, ",""))=0,"OK","Falta "&amp;LEFT(IF($J187="","título, ","")&amp;IF($C187="","responsável, ","")&amp;IF($D187="","tipo, ","")&amp;IF($I187="","canal, ","")&amp;IF($H187="","município, ","")&amp;IF(AND($U187="Sim",$E187=""),"empresa, ","")&amp;IF(AND($U187="Sim",$F187=""),"editor, ","")&amp;IF(AND($K187="Concluído",$N187=""),"data de conclusão, ","")&amp;IF(AND($K187="Concluído",$R187=""),"link, ","")&amp;IF(AND($K187="Concluído",$L187=""),"quem liberou, ",""),LEN(IF($J187="","título, ","")&amp;IF($C187="","responsável, ","")&amp;IF($D187="","tipo, ","")&amp;IF($I187="","canal, ","")&amp;IF($H187="","município, ","")&amp;IF(AND($U187="Sim",$E187=""),"empresa, ","")&amp;IF(AND($U187="Sim",$F187=""),"editor, ","")&amp;IF(AND($K187="Concluído",$N187=""),"data de conclusão, ","")&amp;IF(AND($K187="Concluído",$R187=""),"link, ","")&amp;IF(AND($K187="Concluído",$L187=""),"quem liberou, ",""))-2)))</f>
        <v/>
      </c>
      <c r="R187" s="38"/>
      <c r="S187" s="38"/>
      <c r="T187" s="38"/>
      <c r="U187" s="40" t="str">
        <f aca="false">IF($A187="","",IFERROR(INDEX(Listas!$E$5:$E$64,MATCH($D187,Listas!$C$5:$C$64,0)),"Não"))</f>
        <v/>
      </c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9" t="str">
        <f aca="false">IF(OR($A188="",$D188=""),"",$A188+IFERROR(INDEX(Listas!$D$5:$D$64,MATCH($D188,Listas!$C$5:$C$64,0)),3))</f>
        <v/>
      </c>
      <c r="N188" s="37"/>
      <c r="O188" s="40" t="str">
        <f aca="false">IF($A188="","",IF($K188="Concluído","Sim","Não"))</f>
        <v/>
      </c>
      <c r="P188" s="40" t="str">
        <f aca="true">IF($A188="","",IF($K188="Stand-by","Stand-by",IF($K188="Concluído","Concluída",IF(AND($M188&lt;&gt;"",$M188&lt;TODAY()),"Atrasada","Em dia"))))</f>
        <v/>
      </c>
      <c r="Q188" s="40" t="str">
        <f aca="false">IF($A188="","",IF(LEN(IF($J188="","título, ","")&amp;IF($C188="","responsável, ","")&amp;IF($D188="","tipo, ","")&amp;IF($I188="","canal, ","")&amp;IF($H188="","município, ","")&amp;IF(AND($U188="Sim",$E188=""),"empresa, ","")&amp;IF(AND($U188="Sim",$F188=""),"editor, ","")&amp;IF(AND($K188="Concluído",$N188=""),"data de conclusão, ","")&amp;IF(AND($K188="Concluído",$R188=""),"link, ","")&amp;IF(AND($K188="Concluído",$L188=""),"quem liberou, ",""))=0,"OK","Falta "&amp;LEFT(IF($J188="","título, ","")&amp;IF($C188="","responsável, ","")&amp;IF($D188="","tipo, ","")&amp;IF($I188="","canal, ","")&amp;IF($H188="","município, ","")&amp;IF(AND($U188="Sim",$E188=""),"empresa, ","")&amp;IF(AND($U188="Sim",$F188=""),"editor, ","")&amp;IF(AND($K188="Concluído",$N188=""),"data de conclusão, ","")&amp;IF(AND($K188="Concluído",$R188=""),"link, ","")&amp;IF(AND($K188="Concluído",$L188=""),"quem liberou, ",""),LEN(IF($J188="","título, ","")&amp;IF($C188="","responsável, ","")&amp;IF($D188="","tipo, ","")&amp;IF($I188="","canal, ","")&amp;IF($H188="","município, ","")&amp;IF(AND($U188="Sim",$E188=""),"empresa, ","")&amp;IF(AND($U188="Sim",$F188=""),"editor, ","")&amp;IF(AND($K188="Concluído",$N188=""),"data de conclusão, ","")&amp;IF(AND($K188="Concluído",$R188=""),"link, ","")&amp;IF(AND($K188="Concluído",$L188=""),"quem liberou, ",""))-2)))</f>
        <v/>
      </c>
      <c r="R188" s="38"/>
      <c r="S188" s="38"/>
      <c r="T188" s="38"/>
      <c r="U188" s="40" t="str">
        <f aca="false">IF($A188="","",IFERROR(INDEX(Listas!$E$5:$E$64,MATCH($D188,Listas!$C$5:$C$64,0)),"Não"))</f>
        <v/>
      </c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9" t="str">
        <f aca="false">IF(OR($A189="",$D189=""),"",$A189+IFERROR(INDEX(Listas!$D$5:$D$64,MATCH($D189,Listas!$C$5:$C$64,0)),3))</f>
        <v/>
      </c>
      <c r="N189" s="37"/>
      <c r="O189" s="40" t="str">
        <f aca="false">IF($A189="","",IF($K189="Concluído","Sim","Não"))</f>
        <v/>
      </c>
      <c r="P189" s="40" t="str">
        <f aca="true">IF($A189="","",IF($K189="Stand-by","Stand-by",IF($K189="Concluído","Concluída",IF(AND($M189&lt;&gt;"",$M189&lt;TODAY()),"Atrasada","Em dia"))))</f>
        <v/>
      </c>
      <c r="Q189" s="40" t="str">
        <f aca="false">IF($A189="","",IF(LEN(IF($J189="","título, ","")&amp;IF($C189="","responsável, ","")&amp;IF($D189="","tipo, ","")&amp;IF($I189="","canal, ","")&amp;IF($H189="","município, ","")&amp;IF(AND($U189="Sim",$E189=""),"empresa, ","")&amp;IF(AND($U189="Sim",$F189=""),"editor, ","")&amp;IF(AND($K189="Concluído",$N189=""),"data de conclusão, ","")&amp;IF(AND($K189="Concluído",$R189=""),"link, ","")&amp;IF(AND($K189="Concluído",$L189=""),"quem liberou, ",""))=0,"OK","Falta "&amp;LEFT(IF($J189="","título, ","")&amp;IF($C189="","responsável, ","")&amp;IF($D189="","tipo, ","")&amp;IF($I189="","canal, ","")&amp;IF($H189="","município, ","")&amp;IF(AND($U189="Sim",$E189=""),"empresa, ","")&amp;IF(AND($U189="Sim",$F189=""),"editor, ","")&amp;IF(AND($K189="Concluído",$N189=""),"data de conclusão, ","")&amp;IF(AND($K189="Concluído",$R189=""),"link, ","")&amp;IF(AND($K189="Concluído",$L189=""),"quem liberou, ",""),LEN(IF($J189="","título, ","")&amp;IF($C189="","responsável, ","")&amp;IF($D189="","tipo, ","")&amp;IF($I189="","canal, ","")&amp;IF($H189="","município, ","")&amp;IF(AND($U189="Sim",$E189=""),"empresa, ","")&amp;IF(AND($U189="Sim",$F189=""),"editor, ","")&amp;IF(AND($K189="Concluído",$N189=""),"data de conclusão, ","")&amp;IF(AND($K189="Concluído",$R189=""),"link, ","")&amp;IF(AND($K189="Concluído",$L189=""),"quem liberou, ",""))-2)))</f>
        <v/>
      </c>
      <c r="R189" s="38"/>
      <c r="S189" s="38"/>
      <c r="T189" s="38"/>
      <c r="U189" s="40" t="str">
        <f aca="false">IF($A189="","",IFERROR(INDEX(Listas!$E$5:$E$64,MATCH($D189,Listas!$C$5:$C$64,0)),"Não"))</f>
        <v/>
      </c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9" t="str">
        <f aca="false">IF(OR($A190="",$D190=""),"",$A190+IFERROR(INDEX(Listas!$D$5:$D$64,MATCH($D190,Listas!$C$5:$C$64,0)),3))</f>
        <v/>
      </c>
      <c r="N190" s="37"/>
      <c r="O190" s="40" t="str">
        <f aca="false">IF($A190="","",IF($K190="Concluído","Sim","Não"))</f>
        <v/>
      </c>
      <c r="P190" s="40" t="str">
        <f aca="true">IF($A190="","",IF($K190="Stand-by","Stand-by",IF($K190="Concluído","Concluída",IF(AND($M190&lt;&gt;"",$M190&lt;TODAY()),"Atrasada","Em dia"))))</f>
        <v/>
      </c>
      <c r="Q190" s="40" t="str">
        <f aca="false">IF($A190="","",IF(LEN(IF($J190="","título, ","")&amp;IF($C190="","responsável, ","")&amp;IF($D190="","tipo, ","")&amp;IF($I190="","canal, ","")&amp;IF($H190="","município, ","")&amp;IF(AND($U190="Sim",$E190=""),"empresa, ","")&amp;IF(AND($U190="Sim",$F190=""),"editor, ","")&amp;IF(AND($K190="Concluído",$N190=""),"data de conclusão, ","")&amp;IF(AND($K190="Concluído",$R190=""),"link, ","")&amp;IF(AND($K190="Concluído",$L190=""),"quem liberou, ",""))=0,"OK","Falta "&amp;LEFT(IF($J190="","título, ","")&amp;IF($C190="","responsável, ","")&amp;IF($D190="","tipo, ","")&amp;IF($I190="","canal, ","")&amp;IF($H190="","município, ","")&amp;IF(AND($U190="Sim",$E190=""),"empresa, ","")&amp;IF(AND($U190="Sim",$F190=""),"editor, ","")&amp;IF(AND($K190="Concluído",$N190=""),"data de conclusão, ","")&amp;IF(AND($K190="Concluído",$R190=""),"link, ","")&amp;IF(AND($K190="Concluído",$L190=""),"quem liberou, ",""),LEN(IF($J190="","título, ","")&amp;IF($C190="","responsável, ","")&amp;IF($D190="","tipo, ","")&amp;IF($I190="","canal, ","")&amp;IF($H190="","município, ","")&amp;IF(AND($U190="Sim",$E190=""),"empresa, ","")&amp;IF(AND($U190="Sim",$F190=""),"editor, ","")&amp;IF(AND($K190="Concluído",$N190=""),"data de conclusão, ","")&amp;IF(AND($K190="Concluído",$R190=""),"link, ","")&amp;IF(AND($K190="Concluído",$L190=""),"quem liberou, ",""))-2)))</f>
        <v/>
      </c>
      <c r="R190" s="38"/>
      <c r="S190" s="38"/>
      <c r="T190" s="38"/>
      <c r="U190" s="40" t="str">
        <f aca="false">IF($A190="","",IFERROR(INDEX(Listas!$E$5:$E$64,MATCH($D190,Listas!$C$5:$C$64,0)),"Não"))</f>
        <v/>
      </c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9" t="str">
        <f aca="false">IF(OR($A191="",$D191=""),"",$A191+IFERROR(INDEX(Listas!$D$5:$D$64,MATCH($D191,Listas!$C$5:$C$64,0)),3))</f>
        <v/>
      </c>
      <c r="N191" s="37"/>
      <c r="O191" s="40" t="str">
        <f aca="false">IF($A191="","",IF($K191="Concluído","Sim","Não"))</f>
        <v/>
      </c>
      <c r="P191" s="40" t="str">
        <f aca="true">IF($A191="","",IF($K191="Stand-by","Stand-by",IF($K191="Concluído","Concluída",IF(AND($M191&lt;&gt;"",$M191&lt;TODAY()),"Atrasada","Em dia"))))</f>
        <v/>
      </c>
      <c r="Q191" s="40" t="str">
        <f aca="false">IF($A191="","",IF(LEN(IF($J191="","título, ","")&amp;IF($C191="","responsável, ","")&amp;IF($D191="","tipo, ","")&amp;IF($I191="","canal, ","")&amp;IF($H191="","município, ","")&amp;IF(AND($U191="Sim",$E191=""),"empresa, ","")&amp;IF(AND($U191="Sim",$F191=""),"editor, ","")&amp;IF(AND($K191="Concluído",$N191=""),"data de conclusão, ","")&amp;IF(AND($K191="Concluído",$R191=""),"link, ","")&amp;IF(AND($K191="Concluído",$L191=""),"quem liberou, ",""))=0,"OK","Falta "&amp;LEFT(IF($J191="","título, ","")&amp;IF($C191="","responsável, ","")&amp;IF($D191="","tipo, ","")&amp;IF($I191="","canal, ","")&amp;IF($H191="","município, ","")&amp;IF(AND($U191="Sim",$E191=""),"empresa, ","")&amp;IF(AND($U191="Sim",$F191=""),"editor, ","")&amp;IF(AND($K191="Concluído",$N191=""),"data de conclusão, ","")&amp;IF(AND($K191="Concluído",$R191=""),"link, ","")&amp;IF(AND($K191="Concluído",$L191=""),"quem liberou, ",""),LEN(IF($J191="","título, ","")&amp;IF($C191="","responsável, ","")&amp;IF($D191="","tipo, ","")&amp;IF($I191="","canal, ","")&amp;IF($H191="","município, ","")&amp;IF(AND($U191="Sim",$E191=""),"empresa, ","")&amp;IF(AND($U191="Sim",$F191=""),"editor, ","")&amp;IF(AND($K191="Concluído",$N191=""),"data de conclusão, ","")&amp;IF(AND($K191="Concluído",$R191=""),"link, ","")&amp;IF(AND($K191="Concluído",$L191=""),"quem liberou, ",""))-2)))</f>
        <v/>
      </c>
      <c r="R191" s="38"/>
      <c r="S191" s="38"/>
      <c r="T191" s="38"/>
      <c r="U191" s="40" t="str">
        <f aca="false">IF($A191="","",IFERROR(INDEX(Listas!$E$5:$E$64,MATCH($D191,Listas!$C$5:$C$64,0)),"Não"))</f>
        <v/>
      </c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9" t="str">
        <f aca="false">IF(OR($A192="",$D192=""),"",$A192+IFERROR(INDEX(Listas!$D$5:$D$64,MATCH($D192,Listas!$C$5:$C$64,0)),3))</f>
        <v/>
      </c>
      <c r="N192" s="37"/>
      <c r="O192" s="40" t="str">
        <f aca="false">IF($A192="","",IF($K192="Concluído","Sim","Não"))</f>
        <v/>
      </c>
      <c r="P192" s="40" t="str">
        <f aca="true">IF($A192="","",IF($K192="Stand-by","Stand-by",IF($K192="Concluído","Concluída",IF(AND($M192&lt;&gt;"",$M192&lt;TODAY()),"Atrasada","Em dia"))))</f>
        <v/>
      </c>
      <c r="Q192" s="40" t="str">
        <f aca="false">IF($A192="","",IF(LEN(IF($J192="","título, ","")&amp;IF($C192="","responsável, ","")&amp;IF($D192="","tipo, ","")&amp;IF($I192="","canal, ","")&amp;IF($H192="","município, ","")&amp;IF(AND($U192="Sim",$E192=""),"empresa, ","")&amp;IF(AND($U192="Sim",$F192=""),"editor, ","")&amp;IF(AND($K192="Concluído",$N192=""),"data de conclusão, ","")&amp;IF(AND($K192="Concluído",$R192=""),"link, ","")&amp;IF(AND($K192="Concluído",$L192=""),"quem liberou, ",""))=0,"OK","Falta "&amp;LEFT(IF($J192="","título, ","")&amp;IF($C192="","responsável, ","")&amp;IF($D192="","tipo, ","")&amp;IF($I192="","canal, ","")&amp;IF($H192="","município, ","")&amp;IF(AND($U192="Sim",$E192=""),"empresa, ","")&amp;IF(AND($U192="Sim",$F192=""),"editor, ","")&amp;IF(AND($K192="Concluído",$N192=""),"data de conclusão, ","")&amp;IF(AND($K192="Concluído",$R192=""),"link, ","")&amp;IF(AND($K192="Concluído",$L192=""),"quem liberou, ",""),LEN(IF($J192="","título, ","")&amp;IF($C192="","responsável, ","")&amp;IF($D192="","tipo, ","")&amp;IF($I192="","canal, ","")&amp;IF($H192="","município, ","")&amp;IF(AND($U192="Sim",$E192=""),"empresa, ","")&amp;IF(AND($U192="Sim",$F192=""),"editor, ","")&amp;IF(AND($K192="Concluído",$N192=""),"data de conclusão, ","")&amp;IF(AND($K192="Concluído",$R192=""),"link, ","")&amp;IF(AND($K192="Concluído",$L192=""),"quem liberou, ",""))-2)))</f>
        <v/>
      </c>
      <c r="R192" s="38"/>
      <c r="S192" s="38"/>
      <c r="T192" s="38"/>
      <c r="U192" s="40" t="str">
        <f aca="false">IF($A192="","",IFERROR(INDEX(Listas!$E$5:$E$64,MATCH($D192,Listas!$C$5:$C$64,0)),"Não"))</f>
        <v/>
      </c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9" t="str">
        <f aca="false">IF(OR($A193="",$D193=""),"",$A193+IFERROR(INDEX(Listas!$D$5:$D$64,MATCH($D193,Listas!$C$5:$C$64,0)),3))</f>
        <v/>
      </c>
      <c r="N193" s="37"/>
      <c r="O193" s="40" t="str">
        <f aca="false">IF($A193="","",IF($K193="Concluído","Sim","Não"))</f>
        <v/>
      </c>
      <c r="P193" s="40" t="str">
        <f aca="true">IF($A193="","",IF($K193="Stand-by","Stand-by",IF($K193="Concluído","Concluída",IF(AND($M193&lt;&gt;"",$M193&lt;TODAY()),"Atrasada","Em dia"))))</f>
        <v/>
      </c>
      <c r="Q193" s="40" t="str">
        <f aca="false">IF($A193="","",IF(LEN(IF($J193="","título, ","")&amp;IF($C193="","responsável, ","")&amp;IF($D193="","tipo, ","")&amp;IF($I193="","canal, ","")&amp;IF($H193="","município, ","")&amp;IF(AND($U193="Sim",$E193=""),"empresa, ","")&amp;IF(AND($U193="Sim",$F193=""),"editor, ","")&amp;IF(AND($K193="Concluído",$N193=""),"data de conclusão, ","")&amp;IF(AND($K193="Concluído",$R193=""),"link, ","")&amp;IF(AND($K193="Concluído",$L193=""),"quem liberou, ",""))=0,"OK","Falta "&amp;LEFT(IF($J193="","título, ","")&amp;IF($C193="","responsável, ","")&amp;IF($D193="","tipo, ","")&amp;IF($I193="","canal, ","")&amp;IF($H193="","município, ","")&amp;IF(AND($U193="Sim",$E193=""),"empresa, ","")&amp;IF(AND($U193="Sim",$F193=""),"editor, ","")&amp;IF(AND($K193="Concluído",$N193=""),"data de conclusão, ","")&amp;IF(AND($K193="Concluído",$R193=""),"link, ","")&amp;IF(AND($K193="Concluído",$L193=""),"quem liberou, ",""),LEN(IF($J193="","título, ","")&amp;IF($C193="","responsável, ","")&amp;IF($D193="","tipo, ","")&amp;IF($I193="","canal, ","")&amp;IF($H193="","município, ","")&amp;IF(AND($U193="Sim",$E193=""),"empresa, ","")&amp;IF(AND($U193="Sim",$F193=""),"editor, ","")&amp;IF(AND($K193="Concluído",$N193=""),"data de conclusão, ","")&amp;IF(AND($K193="Concluído",$R193=""),"link, ","")&amp;IF(AND($K193="Concluído",$L193=""),"quem liberou, ",""))-2)))</f>
        <v/>
      </c>
      <c r="R193" s="38"/>
      <c r="S193" s="38"/>
      <c r="T193" s="38"/>
      <c r="U193" s="40" t="str">
        <f aca="false">IF($A193="","",IFERROR(INDEX(Listas!$E$5:$E$64,MATCH($D193,Listas!$C$5:$C$64,0)),"Não"))</f>
        <v/>
      </c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9" t="str">
        <f aca="false">IF(OR($A194="",$D194=""),"",$A194+IFERROR(INDEX(Listas!$D$5:$D$64,MATCH($D194,Listas!$C$5:$C$64,0)),3))</f>
        <v/>
      </c>
      <c r="N194" s="37"/>
      <c r="O194" s="40" t="str">
        <f aca="false">IF($A194="","",IF($K194="Concluído","Sim","Não"))</f>
        <v/>
      </c>
      <c r="P194" s="40" t="str">
        <f aca="true">IF($A194="","",IF($K194="Stand-by","Stand-by",IF($K194="Concluído","Concluída",IF(AND($M194&lt;&gt;"",$M194&lt;TODAY()),"Atrasada","Em dia"))))</f>
        <v/>
      </c>
      <c r="Q194" s="40" t="str">
        <f aca="false">IF($A194="","",IF(LEN(IF($J194="","título, ","")&amp;IF($C194="","responsável, ","")&amp;IF($D194="","tipo, ","")&amp;IF($I194="","canal, ","")&amp;IF($H194="","município, ","")&amp;IF(AND($U194="Sim",$E194=""),"empresa, ","")&amp;IF(AND($U194="Sim",$F194=""),"editor, ","")&amp;IF(AND($K194="Concluído",$N194=""),"data de conclusão, ","")&amp;IF(AND($K194="Concluído",$R194=""),"link, ","")&amp;IF(AND($K194="Concluído",$L194=""),"quem liberou, ",""))=0,"OK","Falta "&amp;LEFT(IF($J194="","título, ","")&amp;IF($C194="","responsável, ","")&amp;IF($D194="","tipo, ","")&amp;IF($I194="","canal, ","")&amp;IF($H194="","município, ","")&amp;IF(AND($U194="Sim",$E194=""),"empresa, ","")&amp;IF(AND($U194="Sim",$F194=""),"editor, ","")&amp;IF(AND($K194="Concluído",$N194=""),"data de conclusão, ","")&amp;IF(AND($K194="Concluído",$R194=""),"link, ","")&amp;IF(AND($K194="Concluído",$L194=""),"quem liberou, ",""),LEN(IF($J194="","título, ","")&amp;IF($C194="","responsável, ","")&amp;IF($D194="","tipo, ","")&amp;IF($I194="","canal, ","")&amp;IF($H194="","município, ","")&amp;IF(AND($U194="Sim",$E194=""),"empresa, ","")&amp;IF(AND($U194="Sim",$F194=""),"editor, ","")&amp;IF(AND($K194="Concluído",$N194=""),"data de conclusão, ","")&amp;IF(AND($K194="Concluído",$R194=""),"link, ","")&amp;IF(AND($K194="Concluído",$L194=""),"quem liberou, ",""))-2)))</f>
        <v/>
      </c>
      <c r="R194" s="38"/>
      <c r="S194" s="38"/>
      <c r="T194" s="38"/>
      <c r="U194" s="40" t="str">
        <f aca="false">IF($A194="","",IFERROR(INDEX(Listas!$E$5:$E$64,MATCH($D194,Listas!$C$5:$C$64,0)),"Não"))</f>
        <v/>
      </c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9" t="str">
        <f aca="false">IF(OR($A195="",$D195=""),"",$A195+IFERROR(INDEX(Listas!$D$5:$D$64,MATCH($D195,Listas!$C$5:$C$64,0)),3))</f>
        <v/>
      </c>
      <c r="N195" s="37"/>
      <c r="O195" s="40" t="str">
        <f aca="false">IF($A195="","",IF($K195="Concluído","Sim","Não"))</f>
        <v/>
      </c>
      <c r="P195" s="40" t="str">
        <f aca="true">IF($A195="","",IF($K195="Stand-by","Stand-by",IF($K195="Concluído","Concluída",IF(AND($M195&lt;&gt;"",$M195&lt;TODAY()),"Atrasada","Em dia"))))</f>
        <v/>
      </c>
      <c r="Q195" s="40" t="str">
        <f aca="false">IF($A195="","",IF(LEN(IF($J195="","título, ","")&amp;IF($C195="","responsável, ","")&amp;IF($D195="","tipo, ","")&amp;IF($I195="","canal, ","")&amp;IF($H195="","município, ","")&amp;IF(AND($U195="Sim",$E195=""),"empresa, ","")&amp;IF(AND($U195="Sim",$F195=""),"editor, ","")&amp;IF(AND($K195="Concluído",$N195=""),"data de conclusão, ","")&amp;IF(AND($K195="Concluído",$R195=""),"link, ","")&amp;IF(AND($K195="Concluído",$L195=""),"quem liberou, ",""))=0,"OK","Falta "&amp;LEFT(IF($J195="","título, ","")&amp;IF($C195="","responsável, ","")&amp;IF($D195="","tipo, ","")&amp;IF($I195="","canal, ","")&amp;IF($H195="","município, ","")&amp;IF(AND($U195="Sim",$E195=""),"empresa, ","")&amp;IF(AND($U195="Sim",$F195=""),"editor, ","")&amp;IF(AND($K195="Concluído",$N195=""),"data de conclusão, ","")&amp;IF(AND($K195="Concluído",$R195=""),"link, ","")&amp;IF(AND($K195="Concluído",$L195=""),"quem liberou, ",""),LEN(IF($J195="","título, ","")&amp;IF($C195="","responsável, ","")&amp;IF($D195="","tipo, ","")&amp;IF($I195="","canal, ","")&amp;IF($H195="","município, ","")&amp;IF(AND($U195="Sim",$E195=""),"empresa, ","")&amp;IF(AND($U195="Sim",$F195=""),"editor, ","")&amp;IF(AND($K195="Concluído",$N195=""),"data de conclusão, ","")&amp;IF(AND($K195="Concluído",$R195=""),"link, ","")&amp;IF(AND($K195="Concluído",$L195=""),"quem liberou, ",""))-2)))</f>
        <v/>
      </c>
      <c r="R195" s="38"/>
      <c r="S195" s="38"/>
      <c r="T195" s="38"/>
      <c r="U195" s="40" t="str">
        <f aca="false">IF($A195="","",IFERROR(INDEX(Listas!$E$5:$E$64,MATCH($D195,Listas!$C$5:$C$64,0)),"Não"))</f>
        <v/>
      </c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9" t="str">
        <f aca="false">IF(OR($A196="",$D196=""),"",$A196+IFERROR(INDEX(Listas!$D$5:$D$64,MATCH($D196,Listas!$C$5:$C$64,0)),3))</f>
        <v/>
      </c>
      <c r="N196" s="37"/>
      <c r="O196" s="40" t="str">
        <f aca="false">IF($A196="","",IF($K196="Concluído","Sim","Não"))</f>
        <v/>
      </c>
      <c r="P196" s="40" t="str">
        <f aca="true">IF($A196="","",IF($K196="Stand-by","Stand-by",IF($K196="Concluído","Concluída",IF(AND($M196&lt;&gt;"",$M196&lt;TODAY()),"Atrasada","Em dia"))))</f>
        <v/>
      </c>
      <c r="Q196" s="40" t="str">
        <f aca="false">IF($A196="","",IF(LEN(IF($J196="","título, ","")&amp;IF($C196="","responsável, ","")&amp;IF($D196="","tipo, ","")&amp;IF($I196="","canal, ","")&amp;IF($H196="","município, ","")&amp;IF(AND($U196="Sim",$E196=""),"empresa, ","")&amp;IF(AND($U196="Sim",$F196=""),"editor, ","")&amp;IF(AND($K196="Concluído",$N196=""),"data de conclusão, ","")&amp;IF(AND($K196="Concluído",$R196=""),"link, ","")&amp;IF(AND($K196="Concluído",$L196=""),"quem liberou, ",""))=0,"OK","Falta "&amp;LEFT(IF($J196="","título, ","")&amp;IF($C196="","responsável, ","")&amp;IF($D196="","tipo, ","")&amp;IF($I196="","canal, ","")&amp;IF($H196="","município, ","")&amp;IF(AND($U196="Sim",$E196=""),"empresa, ","")&amp;IF(AND($U196="Sim",$F196=""),"editor, ","")&amp;IF(AND($K196="Concluído",$N196=""),"data de conclusão, ","")&amp;IF(AND($K196="Concluído",$R196=""),"link, ","")&amp;IF(AND($K196="Concluído",$L196=""),"quem liberou, ",""),LEN(IF($J196="","título, ","")&amp;IF($C196="","responsável, ","")&amp;IF($D196="","tipo, ","")&amp;IF($I196="","canal, ","")&amp;IF($H196="","município, ","")&amp;IF(AND($U196="Sim",$E196=""),"empresa, ","")&amp;IF(AND($U196="Sim",$F196=""),"editor, ","")&amp;IF(AND($K196="Concluído",$N196=""),"data de conclusão, ","")&amp;IF(AND($K196="Concluído",$R196=""),"link, ","")&amp;IF(AND($K196="Concluído",$L196=""),"quem liberou, ",""))-2)))</f>
        <v/>
      </c>
      <c r="R196" s="38"/>
      <c r="S196" s="38"/>
      <c r="T196" s="38"/>
      <c r="U196" s="40" t="str">
        <f aca="false">IF($A196="","",IFERROR(INDEX(Listas!$E$5:$E$64,MATCH($D196,Listas!$C$5:$C$64,0)),"Não"))</f>
        <v/>
      </c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9" t="str">
        <f aca="false">IF(OR($A197="",$D197=""),"",$A197+IFERROR(INDEX(Listas!$D$5:$D$64,MATCH($D197,Listas!$C$5:$C$64,0)),3))</f>
        <v/>
      </c>
      <c r="N197" s="37"/>
      <c r="O197" s="40" t="str">
        <f aca="false">IF($A197="","",IF($K197="Concluído","Sim","Não"))</f>
        <v/>
      </c>
      <c r="P197" s="40" t="str">
        <f aca="true">IF($A197="","",IF($K197="Stand-by","Stand-by",IF($K197="Concluído","Concluída",IF(AND($M197&lt;&gt;"",$M197&lt;TODAY()),"Atrasada","Em dia"))))</f>
        <v/>
      </c>
      <c r="Q197" s="40" t="str">
        <f aca="false">IF($A197="","",IF(LEN(IF($J197="","título, ","")&amp;IF($C197="","responsável, ","")&amp;IF($D197="","tipo, ","")&amp;IF($I197="","canal, ","")&amp;IF($H197="","município, ","")&amp;IF(AND($U197="Sim",$E197=""),"empresa, ","")&amp;IF(AND($U197="Sim",$F197=""),"editor, ","")&amp;IF(AND($K197="Concluído",$N197=""),"data de conclusão, ","")&amp;IF(AND($K197="Concluído",$R197=""),"link, ","")&amp;IF(AND($K197="Concluído",$L197=""),"quem liberou, ",""))=0,"OK","Falta "&amp;LEFT(IF($J197="","título, ","")&amp;IF($C197="","responsável, ","")&amp;IF($D197="","tipo, ","")&amp;IF($I197="","canal, ","")&amp;IF($H197="","município, ","")&amp;IF(AND($U197="Sim",$E197=""),"empresa, ","")&amp;IF(AND($U197="Sim",$F197=""),"editor, ","")&amp;IF(AND($K197="Concluído",$N197=""),"data de conclusão, ","")&amp;IF(AND($K197="Concluído",$R197=""),"link, ","")&amp;IF(AND($K197="Concluído",$L197=""),"quem liberou, ",""),LEN(IF($J197="","título, ","")&amp;IF($C197="","responsável, ","")&amp;IF($D197="","tipo, ","")&amp;IF($I197="","canal, ","")&amp;IF($H197="","município, ","")&amp;IF(AND($U197="Sim",$E197=""),"empresa, ","")&amp;IF(AND($U197="Sim",$F197=""),"editor, ","")&amp;IF(AND($K197="Concluído",$N197=""),"data de conclusão, ","")&amp;IF(AND($K197="Concluído",$R197=""),"link, ","")&amp;IF(AND($K197="Concluído",$L197=""),"quem liberou, ",""))-2)))</f>
        <v/>
      </c>
      <c r="R197" s="38"/>
      <c r="S197" s="38"/>
      <c r="T197" s="38"/>
      <c r="U197" s="40" t="str">
        <f aca="false">IF($A197="","",IFERROR(INDEX(Listas!$E$5:$E$64,MATCH($D197,Listas!$C$5:$C$64,0)),"Não"))</f>
        <v/>
      </c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9" t="str">
        <f aca="false">IF(OR($A198="",$D198=""),"",$A198+IFERROR(INDEX(Listas!$D$5:$D$64,MATCH($D198,Listas!$C$5:$C$64,0)),3))</f>
        <v/>
      </c>
      <c r="N198" s="37"/>
      <c r="O198" s="40" t="str">
        <f aca="false">IF($A198="","",IF($K198="Concluído","Sim","Não"))</f>
        <v/>
      </c>
      <c r="P198" s="40" t="str">
        <f aca="true">IF($A198="","",IF($K198="Stand-by","Stand-by",IF($K198="Concluído","Concluída",IF(AND($M198&lt;&gt;"",$M198&lt;TODAY()),"Atrasada","Em dia"))))</f>
        <v/>
      </c>
      <c r="Q198" s="40" t="str">
        <f aca="false">IF($A198="","",IF(LEN(IF($J198="","título, ","")&amp;IF($C198="","responsável, ","")&amp;IF($D198="","tipo, ","")&amp;IF($I198="","canal, ","")&amp;IF($H198="","município, ","")&amp;IF(AND($U198="Sim",$E198=""),"empresa, ","")&amp;IF(AND($U198="Sim",$F198=""),"editor, ","")&amp;IF(AND($K198="Concluído",$N198=""),"data de conclusão, ","")&amp;IF(AND($K198="Concluído",$R198=""),"link, ","")&amp;IF(AND($K198="Concluído",$L198=""),"quem liberou, ",""))=0,"OK","Falta "&amp;LEFT(IF($J198="","título, ","")&amp;IF($C198="","responsável, ","")&amp;IF($D198="","tipo, ","")&amp;IF($I198="","canal, ","")&amp;IF($H198="","município, ","")&amp;IF(AND($U198="Sim",$E198=""),"empresa, ","")&amp;IF(AND($U198="Sim",$F198=""),"editor, ","")&amp;IF(AND($K198="Concluído",$N198=""),"data de conclusão, ","")&amp;IF(AND($K198="Concluído",$R198=""),"link, ","")&amp;IF(AND($K198="Concluído",$L198=""),"quem liberou, ",""),LEN(IF($J198="","título, ","")&amp;IF($C198="","responsável, ","")&amp;IF($D198="","tipo, ","")&amp;IF($I198="","canal, ","")&amp;IF($H198="","município, ","")&amp;IF(AND($U198="Sim",$E198=""),"empresa, ","")&amp;IF(AND($U198="Sim",$F198=""),"editor, ","")&amp;IF(AND($K198="Concluído",$N198=""),"data de conclusão, ","")&amp;IF(AND($K198="Concluído",$R198=""),"link, ","")&amp;IF(AND($K198="Concluído",$L198=""),"quem liberou, ",""))-2)))</f>
        <v/>
      </c>
      <c r="R198" s="38"/>
      <c r="S198" s="38"/>
      <c r="T198" s="38"/>
      <c r="U198" s="40" t="str">
        <f aca="false">IF($A198="","",IFERROR(INDEX(Listas!$E$5:$E$64,MATCH($D198,Listas!$C$5:$C$64,0)),"Não"))</f>
        <v/>
      </c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9" t="str">
        <f aca="false">IF(OR($A199="",$D199=""),"",$A199+IFERROR(INDEX(Listas!$D$5:$D$64,MATCH($D199,Listas!$C$5:$C$64,0)),3))</f>
        <v/>
      </c>
      <c r="N199" s="37"/>
      <c r="O199" s="40" t="str">
        <f aca="false">IF($A199="","",IF($K199="Concluído","Sim","Não"))</f>
        <v/>
      </c>
      <c r="P199" s="40" t="str">
        <f aca="true">IF($A199="","",IF($K199="Stand-by","Stand-by",IF($K199="Concluído","Concluída",IF(AND($M199&lt;&gt;"",$M199&lt;TODAY()),"Atrasada","Em dia"))))</f>
        <v/>
      </c>
      <c r="Q199" s="40" t="str">
        <f aca="false">IF($A199="","",IF(LEN(IF($J199="","título, ","")&amp;IF($C199="","responsável, ","")&amp;IF($D199="","tipo, ","")&amp;IF($I199="","canal, ","")&amp;IF($H199="","município, ","")&amp;IF(AND($U199="Sim",$E199=""),"empresa, ","")&amp;IF(AND($U199="Sim",$F199=""),"editor, ","")&amp;IF(AND($K199="Concluído",$N199=""),"data de conclusão, ","")&amp;IF(AND($K199="Concluído",$R199=""),"link, ","")&amp;IF(AND($K199="Concluído",$L199=""),"quem liberou, ",""))=0,"OK","Falta "&amp;LEFT(IF($J199="","título, ","")&amp;IF($C199="","responsável, ","")&amp;IF($D199="","tipo, ","")&amp;IF($I199="","canal, ","")&amp;IF($H199="","município, ","")&amp;IF(AND($U199="Sim",$E199=""),"empresa, ","")&amp;IF(AND($U199="Sim",$F199=""),"editor, ","")&amp;IF(AND($K199="Concluído",$N199=""),"data de conclusão, ","")&amp;IF(AND($K199="Concluído",$R199=""),"link, ","")&amp;IF(AND($K199="Concluído",$L199=""),"quem liberou, ",""),LEN(IF($J199="","título, ","")&amp;IF($C199="","responsável, ","")&amp;IF($D199="","tipo, ","")&amp;IF($I199="","canal, ","")&amp;IF($H199="","município, ","")&amp;IF(AND($U199="Sim",$E199=""),"empresa, ","")&amp;IF(AND($U199="Sim",$F199=""),"editor, ","")&amp;IF(AND($K199="Concluído",$N199=""),"data de conclusão, ","")&amp;IF(AND($K199="Concluído",$R199=""),"link, ","")&amp;IF(AND($K199="Concluído",$L199=""),"quem liberou, ",""))-2)))</f>
        <v/>
      </c>
      <c r="R199" s="38"/>
      <c r="S199" s="38"/>
      <c r="T199" s="38"/>
      <c r="U199" s="40" t="str">
        <f aca="false">IF($A199="","",IFERROR(INDEX(Listas!$E$5:$E$64,MATCH($D199,Listas!$C$5:$C$64,0)),"Não"))</f>
        <v/>
      </c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9" t="str">
        <f aca="false">IF(OR($A200="",$D200=""),"",$A200+IFERROR(INDEX(Listas!$D$5:$D$64,MATCH($D200,Listas!$C$5:$C$64,0)),3))</f>
        <v/>
      </c>
      <c r="N200" s="37"/>
      <c r="O200" s="40" t="str">
        <f aca="false">IF($A200="","",IF($K200="Concluído","Sim","Não"))</f>
        <v/>
      </c>
      <c r="P200" s="40" t="str">
        <f aca="true">IF($A200="","",IF($K200="Stand-by","Stand-by",IF($K200="Concluído","Concluída",IF(AND($M200&lt;&gt;"",$M200&lt;TODAY()),"Atrasada","Em dia"))))</f>
        <v/>
      </c>
      <c r="Q200" s="40" t="str">
        <f aca="false">IF($A200="","",IF(LEN(IF($J200="","título, ","")&amp;IF($C200="","responsável, ","")&amp;IF($D200="","tipo, ","")&amp;IF($I200="","canal, ","")&amp;IF($H200="","município, ","")&amp;IF(AND($U200="Sim",$E200=""),"empresa, ","")&amp;IF(AND($U200="Sim",$F200=""),"editor, ","")&amp;IF(AND($K200="Concluído",$N200=""),"data de conclusão, ","")&amp;IF(AND($K200="Concluído",$R200=""),"link, ","")&amp;IF(AND($K200="Concluído",$L200=""),"quem liberou, ",""))=0,"OK","Falta "&amp;LEFT(IF($J200="","título, ","")&amp;IF($C200="","responsável, ","")&amp;IF($D200="","tipo, ","")&amp;IF($I200="","canal, ","")&amp;IF($H200="","município, ","")&amp;IF(AND($U200="Sim",$E200=""),"empresa, ","")&amp;IF(AND($U200="Sim",$F200=""),"editor, ","")&amp;IF(AND($K200="Concluído",$N200=""),"data de conclusão, ","")&amp;IF(AND($K200="Concluído",$R200=""),"link, ","")&amp;IF(AND($K200="Concluído",$L200=""),"quem liberou, ",""),LEN(IF($J200="","título, ","")&amp;IF($C200="","responsável, ","")&amp;IF($D200="","tipo, ","")&amp;IF($I200="","canal, ","")&amp;IF($H200="","município, ","")&amp;IF(AND($U200="Sim",$E200=""),"empresa, ","")&amp;IF(AND($U200="Sim",$F200=""),"editor, ","")&amp;IF(AND($K200="Concluído",$N200=""),"data de conclusão, ","")&amp;IF(AND($K200="Concluído",$R200=""),"link, ","")&amp;IF(AND($K200="Concluído",$L200=""),"quem liberou, ",""))-2)))</f>
        <v/>
      </c>
      <c r="R200" s="38"/>
      <c r="S200" s="38"/>
      <c r="T200" s="38"/>
      <c r="U200" s="40" t="str">
        <f aca="false">IF($A200="","",IFERROR(INDEX(Listas!$E$5:$E$64,MATCH($D200,Listas!$C$5:$C$64,0)),"Não"))</f>
        <v/>
      </c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9" t="str">
        <f aca="false">IF(OR($A201="",$D201=""),"",$A201+IFERROR(INDEX(Listas!$D$5:$D$64,MATCH($D201,Listas!$C$5:$C$64,0)),3))</f>
        <v/>
      </c>
      <c r="N201" s="37"/>
      <c r="O201" s="40" t="str">
        <f aca="false">IF($A201="","",IF($K201="Concluído","Sim","Não"))</f>
        <v/>
      </c>
      <c r="P201" s="40" t="str">
        <f aca="true">IF($A201="","",IF($K201="Stand-by","Stand-by",IF($K201="Concluído","Concluída",IF(AND($M201&lt;&gt;"",$M201&lt;TODAY()),"Atrasada","Em dia"))))</f>
        <v/>
      </c>
      <c r="Q201" s="40" t="str">
        <f aca="false">IF($A201="","",IF(LEN(IF($J201="","título, ","")&amp;IF($C201="","responsável, ","")&amp;IF($D201="","tipo, ","")&amp;IF($I201="","canal, ","")&amp;IF($H201="","município, ","")&amp;IF(AND($U201="Sim",$E201=""),"empresa, ","")&amp;IF(AND($U201="Sim",$F201=""),"editor, ","")&amp;IF(AND($K201="Concluído",$N201=""),"data de conclusão, ","")&amp;IF(AND($K201="Concluído",$R201=""),"link, ","")&amp;IF(AND($K201="Concluído",$L201=""),"quem liberou, ",""))=0,"OK","Falta "&amp;LEFT(IF($J201="","título, ","")&amp;IF($C201="","responsável, ","")&amp;IF($D201="","tipo, ","")&amp;IF($I201="","canal, ","")&amp;IF($H201="","município, ","")&amp;IF(AND($U201="Sim",$E201=""),"empresa, ","")&amp;IF(AND($U201="Sim",$F201=""),"editor, ","")&amp;IF(AND($K201="Concluído",$N201=""),"data de conclusão, ","")&amp;IF(AND($K201="Concluído",$R201=""),"link, ","")&amp;IF(AND($K201="Concluído",$L201=""),"quem liberou, ",""),LEN(IF($J201="","título, ","")&amp;IF($C201="","responsável, ","")&amp;IF($D201="","tipo, ","")&amp;IF($I201="","canal, ","")&amp;IF($H201="","município, ","")&amp;IF(AND($U201="Sim",$E201=""),"empresa, ","")&amp;IF(AND($U201="Sim",$F201=""),"editor, ","")&amp;IF(AND($K201="Concluído",$N201=""),"data de conclusão, ","")&amp;IF(AND($K201="Concluído",$R201=""),"link, ","")&amp;IF(AND($K201="Concluído",$L201=""),"quem liberou, ",""))-2)))</f>
        <v/>
      </c>
      <c r="R201" s="38"/>
      <c r="S201" s="38"/>
      <c r="T201" s="38"/>
      <c r="U201" s="40" t="str">
        <f aca="false">IF($A201="","",IFERROR(INDEX(Listas!$E$5:$E$64,MATCH($D201,Listas!$C$5:$C$64,0)),"Não"))</f>
        <v/>
      </c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9" t="str">
        <f aca="false">IF(OR($A202="",$D202=""),"",$A202+IFERROR(INDEX(Listas!$D$5:$D$64,MATCH($D202,Listas!$C$5:$C$64,0)),3))</f>
        <v/>
      </c>
      <c r="N202" s="37"/>
      <c r="O202" s="40" t="str">
        <f aca="false">IF($A202="","",IF($K202="Concluído","Sim","Não"))</f>
        <v/>
      </c>
      <c r="P202" s="40" t="str">
        <f aca="true">IF($A202="","",IF($K202="Stand-by","Stand-by",IF($K202="Concluído","Concluída",IF(AND($M202&lt;&gt;"",$M202&lt;TODAY()),"Atrasada","Em dia"))))</f>
        <v/>
      </c>
      <c r="Q202" s="40" t="str">
        <f aca="false">IF($A202="","",IF(LEN(IF($J202="","título, ","")&amp;IF($C202="","responsável, ","")&amp;IF($D202="","tipo, ","")&amp;IF($I202="","canal, ","")&amp;IF($H202="","município, ","")&amp;IF(AND($U202="Sim",$E202=""),"empresa, ","")&amp;IF(AND($U202="Sim",$F202=""),"editor, ","")&amp;IF(AND($K202="Concluído",$N202=""),"data de conclusão, ","")&amp;IF(AND($K202="Concluído",$R202=""),"link, ","")&amp;IF(AND($K202="Concluído",$L202=""),"quem liberou, ",""))=0,"OK","Falta "&amp;LEFT(IF($J202="","título, ","")&amp;IF($C202="","responsável, ","")&amp;IF($D202="","tipo, ","")&amp;IF($I202="","canal, ","")&amp;IF($H202="","município, ","")&amp;IF(AND($U202="Sim",$E202=""),"empresa, ","")&amp;IF(AND($U202="Sim",$F202=""),"editor, ","")&amp;IF(AND($K202="Concluído",$N202=""),"data de conclusão, ","")&amp;IF(AND($K202="Concluído",$R202=""),"link, ","")&amp;IF(AND($K202="Concluído",$L202=""),"quem liberou, ",""),LEN(IF($J202="","título, ","")&amp;IF($C202="","responsável, ","")&amp;IF($D202="","tipo, ","")&amp;IF($I202="","canal, ","")&amp;IF($H202="","município, ","")&amp;IF(AND($U202="Sim",$E202=""),"empresa, ","")&amp;IF(AND($U202="Sim",$F202=""),"editor, ","")&amp;IF(AND($K202="Concluído",$N202=""),"data de conclusão, ","")&amp;IF(AND($K202="Concluído",$R202=""),"link, ","")&amp;IF(AND($K202="Concluído",$L202=""),"quem liberou, ",""))-2)))</f>
        <v/>
      </c>
      <c r="R202" s="38"/>
      <c r="S202" s="38"/>
      <c r="T202" s="38"/>
      <c r="U202" s="40" t="str">
        <f aca="false">IF($A202="","",IFERROR(INDEX(Listas!$E$5:$E$64,MATCH($D202,Listas!$C$5:$C$64,0)),"Não"))</f>
        <v/>
      </c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9" t="str">
        <f aca="false">IF(OR($A203="",$D203=""),"",$A203+IFERROR(INDEX(Listas!$D$5:$D$64,MATCH($D203,Listas!$C$5:$C$64,0)),3))</f>
        <v/>
      </c>
      <c r="N203" s="37"/>
      <c r="O203" s="40" t="str">
        <f aca="false">IF($A203="","",IF($K203="Concluído","Sim","Não"))</f>
        <v/>
      </c>
      <c r="P203" s="40" t="str">
        <f aca="true">IF($A203="","",IF($K203="Stand-by","Stand-by",IF($K203="Concluído","Concluída",IF(AND($M203&lt;&gt;"",$M203&lt;TODAY()),"Atrasada","Em dia"))))</f>
        <v/>
      </c>
      <c r="Q203" s="40" t="str">
        <f aca="false">IF($A203="","",IF(LEN(IF($J203="","título, ","")&amp;IF($C203="","responsável, ","")&amp;IF($D203="","tipo, ","")&amp;IF($I203="","canal, ","")&amp;IF($H203="","município, ","")&amp;IF(AND($U203="Sim",$E203=""),"empresa, ","")&amp;IF(AND($U203="Sim",$F203=""),"editor, ","")&amp;IF(AND($K203="Concluído",$N203=""),"data de conclusão, ","")&amp;IF(AND($K203="Concluído",$R203=""),"link, ","")&amp;IF(AND($K203="Concluído",$L203=""),"quem liberou, ",""))=0,"OK","Falta "&amp;LEFT(IF($J203="","título, ","")&amp;IF($C203="","responsável, ","")&amp;IF($D203="","tipo, ","")&amp;IF($I203="","canal, ","")&amp;IF($H203="","município, ","")&amp;IF(AND($U203="Sim",$E203=""),"empresa, ","")&amp;IF(AND($U203="Sim",$F203=""),"editor, ","")&amp;IF(AND($K203="Concluído",$N203=""),"data de conclusão, ","")&amp;IF(AND($K203="Concluído",$R203=""),"link, ","")&amp;IF(AND($K203="Concluído",$L203=""),"quem liberou, ",""),LEN(IF($J203="","título, ","")&amp;IF($C203="","responsável, ","")&amp;IF($D203="","tipo, ","")&amp;IF($I203="","canal, ","")&amp;IF($H203="","município, ","")&amp;IF(AND($U203="Sim",$E203=""),"empresa, ","")&amp;IF(AND($U203="Sim",$F203=""),"editor, ","")&amp;IF(AND($K203="Concluído",$N203=""),"data de conclusão, ","")&amp;IF(AND($K203="Concluído",$R203=""),"link, ","")&amp;IF(AND($K203="Concluído",$L203=""),"quem liberou, ",""))-2)))</f>
        <v/>
      </c>
      <c r="R203" s="38"/>
      <c r="S203" s="38"/>
      <c r="T203" s="38"/>
      <c r="U203" s="40" t="str">
        <f aca="false">IF($A203="","",IFERROR(INDEX(Listas!$E$5:$E$64,MATCH($D203,Listas!$C$5:$C$64,0)),"Não"))</f>
        <v/>
      </c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9" t="str">
        <f aca="false">IF(OR($A204="",$D204=""),"",$A204+IFERROR(INDEX(Listas!$D$5:$D$64,MATCH($D204,Listas!$C$5:$C$64,0)),3))</f>
        <v/>
      </c>
      <c r="N204" s="37"/>
      <c r="O204" s="40" t="str">
        <f aca="false">IF($A204="","",IF($K204="Concluído","Sim","Não"))</f>
        <v/>
      </c>
      <c r="P204" s="40" t="str">
        <f aca="true">IF($A204="","",IF($K204="Stand-by","Stand-by",IF($K204="Concluído","Concluída",IF(AND($M204&lt;&gt;"",$M204&lt;TODAY()),"Atrasada","Em dia"))))</f>
        <v/>
      </c>
      <c r="Q204" s="40" t="str">
        <f aca="false">IF($A204="","",IF(LEN(IF($J204="","título, ","")&amp;IF($C204="","responsável, ","")&amp;IF($D204="","tipo, ","")&amp;IF($I204="","canal, ","")&amp;IF($H204="","município, ","")&amp;IF(AND($U204="Sim",$E204=""),"empresa, ","")&amp;IF(AND($U204="Sim",$F204=""),"editor, ","")&amp;IF(AND($K204="Concluído",$N204=""),"data de conclusão, ","")&amp;IF(AND($K204="Concluído",$R204=""),"link, ","")&amp;IF(AND($K204="Concluído",$L204=""),"quem liberou, ",""))=0,"OK","Falta "&amp;LEFT(IF($J204="","título, ","")&amp;IF($C204="","responsável, ","")&amp;IF($D204="","tipo, ","")&amp;IF($I204="","canal, ","")&amp;IF($H204="","município, ","")&amp;IF(AND($U204="Sim",$E204=""),"empresa, ","")&amp;IF(AND($U204="Sim",$F204=""),"editor, ","")&amp;IF(AND($K204="Concluído",$N204=""),"data de conclusão, ","")&amp;IF(AND($K204="Concluído",$R204=""),"link, ","")&amp;IF(AND($K204="Concluído",$L204=""),"quem liberou, ",""),LEN(IF($J204="","título, ","")&amp;IF($C204="","responsável, ","")&amp;IF($D204="","tipo, ","")&amp;IF($I204="","canal, ","")&amp;IF($H204="","município, ","")&amp;IF(AND($U204="Sim",$E204=""),"empresa, ","")&amp;IF(AND($U204="Sim",$F204=""),"editor, ","")&amp;IF(AND($K204="Concluído",$N204=""),"data de conclusão, ","")&amp;IF(AND($K204="Concluído",$R204=""),"link, ","")&amp;IF(AND($K204="Concluído",$L204=""),"quem liberou, ",""))-2)))</f>
        <v/>
      </c>
      <c r="R204" s="38"/>
      <c r="S204" s="38"/>
      <c r="T204" s="38"/>
      <c r="U204" s="40" t="str">
        <f aca="false">IF($A204="","",IFERROR(INDEX(Listas!$E$5:$E$64,MATCH($D204,Listas!$C$5:$C$64,0)),"Não"))</f>
        <v/>
      </c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9" t="str">
        <f aca="false">IF(OR($A205="",$D205=""),"",$A205+IFERROR(INDEX(Listas!$D$5:$D$64,MATCH($D205,Listas!$C$5:$C$64,0)),3))</f>
        <v/>
      </c>
      <c r="N205" s="37"/>
      <c r="O205" s="40" t="str">
        <f aca="false">IF($A205="","",IF($K205="Concluído","Sim","Não"))</f>
        <v/>
      </c>
      <c r="P205" s="40" t="str">
        <f aca="true">IF($A205="","",IF($K205="Stand-by","Stand-by",IF($K205="Concluído","Concluída",IF(AND($M205&lt;&gt;"",$M205&lt;TODAY()),"Atrasada","Em dia"))))</f>
        <v/>
      </c>
      <c r="Q205" s="40" t="str">
        <f aca="false">IF($A205="","",IF(LEN(IF($J205="","título, ","")&amp;IF($C205="","responsável, ","")&amp;IF($D205="","tipo, ","")&amp;IF($I205="","canal, ","")&amp;IF($H205="","município, ","")&amp;IF(AND($U205="Sim",$E205=""),"empresa, ","")&amp;IF(AND($U205="Sim",$F205=""),"editor, ","")&amp;IF(AND($K205="Concluído",$N205=""),"data de conclusão, ","")&amp;IF(AND($K205="Concluído",$R205=""),"link, ","")&amp;IF(AND($K205="Concluído",$L205=""),"quem liberou, ",""))=0,"OK","Falta "&amp;LEFT(IF($J205="","título, ","")&amp;IF($C205="","responsável, ","")&amp;IF($D205="","tipo, ","")&amp;IF($I205="","canal, ","")&amp;IF($H205="","município, ","")&amp;IF(AND($U205="Sim",$E205=""),"empresa, ","")&amp;IF(AND($U205="Sim",$F205=""),"editor, ","")&amp;IF(AND($K205="Concluído",$N205=""),"data de conclusão, ","")&amp;IF(AND($K205="Concluído",$R205=""),"link, ","")&amp;IF(AND($K205="Concluído",$L205=""),"quem liberou, ",""),LEN(IF($J205="","título, ","")&amp;IF($C205="","responsável, ","")&amp;IF($D205="","tipo, ","")&amp;IF($I205="","canal, ","")&amp;IF($H205="","município, ","")&amp;IF(AND($U205="Sim",$E205=""),"empresa, ","")&amp;IF(AND($U205="Sim",$F205=""),"editor, ","")&amp;IF(AND($K205="Concluído",$N205=""),"data de conclusão, ","")&amp;IF(AND($K205="Concluído",$R205=""),"link, ","")&amp;IF(AND($K205="Concluído",$L205=""),"quem liberou, ",""))-2)))</f>
        <v/>
      </c>
      <c r="R205" s="38"/>
      <c r="S205" s="38"/>
      <c r="T205" s="38"/>
      <c r="U205" s="40" t="str">
        <f aca="false">IF($A205="","",IFERROR(INDEX(Listas!$E$5:$E$64,MATCH($D205,Listas!$C$5:$C$64,0)),"Não"))</f>
        <v/>
      </c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9" t="str">
        <f aca="false">IF(OR($A206="",$D206=""),"",$A206+IFERROR(INDEX(Listas!$D$5:$D$64,MATCH($D206,Listas!$C$5:$C$64,0)),3))</f>
        <v/>
      </c>
      <c r="N206" s="37"/>
      <c r="O206" s="40" t="str">
        <f aca="false">IF($A206="","",IF($K206="Concluído","Sim","Não"))</f>
        <v/>
      </c>
      <c r="P206" s="40" t="str">
        <f aca="true">IF($A206="","",IF($K206="Stand-by","Stand-by",IF($K206="Concluído","Concluída",IF(AND($M206&lt;&gt;"",$M206&lt;TODAY()),"Atrasada","Em dia"))))</f>
        <v/>
      </c>
      <c r="Q206" s="40" t="str">
        <f aca="false">IF($A206="","",IF(LEN(IF($J206="","título, ","")&amp;IF($C206="","responsável, ","")&amp;IF($D206="","tipo, ","")&amp;IF($I206="","canal, ","")&amp;IF($H206="","município, ","")&amp;IF(AND($U206="Sim",$E206=""),"empresa, ","")&amp;IF(AND($U206="Sim",$F206=""),"editor, ","")&amp;IF(AND($K206="Concluído",$N206=""),"data de conclusão, ","")&amp;IF(AND($K206="Concluído",$R206=""),"link, ","")&amp;IF(AND($K206="Concluído",$L206=""),"quem liberou, ",""))=0,"OK","Falta "&amp;LEFT(IF($J206="","título, ","")&amp;IF($C206="","responsável, ","")&amp;IF($D206="","tipo, ","")&amp;IF($I206="","canal, ","")&amp;IF($H206="","município, ","")&amp;IF(AND($U206="Sim",$E206=""),"empresa, ","")&amp;IF(AND($U206="Sim",$F206=""),"editor, ","")&amp;IF(AND($K206="Concluído",$N206=""),"data de conclusão, ","")&amp;IF(AND($K206="Concluído",$R206=""),"link, ","")&amp;IF(AND($K206="Concluído",$L206=""),"quem liberou, ",""),LEN(IF($J206="","título, ","")&amp;IF($C206="","responsável, ","")&amp;IF($D206="","tipo, ","")&amp;IF($I206="","canal, ","")&amp;IF($H206="","município, ","")&amp;IF(AND($U206="Sim",$E206=""),"empresa, ","")&amp;IF(AND($U206="Sim",$F206=""),"editor, ","")&amp;IF(AND($K206="Concluído",$N206=""),"data de conclusão, ","")&amp;IF(AND($K206="Concluído",$R206=""),"link, ","")&amp;IF(AND($K206="Concluído",$L206=""),"quem liberou, ",""))-2)))</f>
        <v/>
      </c>
      <c r="R206" s="38"/>
      <c r="S206" s="38"/>
      <c r="T206" s="38"/>
      <c r="U206" s="40" t="str">
        <f aca="false">IF($A206="","",IFERROR(INDEX(Listas!$E$5:$E$64,MATCH($D206,Listas!$C$5:$C$64,0)),"Não"))</f>
        <v/>
      </c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9" t="str">
        <f aca="false">IF(OR($A207="",$D207=""),"",$A207+IFERROR(INDEX(Listas!$D$5:$D$64,MATCH($D207,Listas!$C$5:$C$64,0)),3))</f>
        <v/>
      </c>
      <c r="N207" s="37"/>
      <c r="O207" s="40" t="str">
        <f aca="false">IF($A207="","",IF($K207="Concluído","Sim","Não"))</f>
        <v/>
      </c>
      <c r="P207" s="40" t="str">
        <f aca="true">IF($A207="","",IF($K207="Stand-by","Stand-by",IF($K207="Concluído","Concluída",IF(AND($M207&lt;&gt;"",$M207&lt;TODAY()),"Atrasada","Em dia"))))</f>
        <v/>
      </c>
      <c r="Q207" s="40" t="str">
        <f aca="false">IF($A207="","",IF(LEN(IF($J207="","título, ","")&amp;IF($C207="","responsável, ","")&amp;IF($D207="","tipo, ","")&amp;IF($I207="","canal, ","")&amp;IF($H207="","município, ","")&amp;IF(AND($U207="Sim",$E207=""),"empresa, ","")&amp;IF(AND($U207="Sim",$F207=""),"editor, ","")&amp;IF(AND($K207="Concluído",$N207=""),"data de conclusão, ","")&amp;IF(AND($K207="Concluído",$R207=""),"link, ","")&amp;IF(AND($K207="Concluído",$L207=""),"quem liberou, ",""))=0,"OK","Falta "&amp;LEFT(IF($J207="","título, ","")&amp;IF($C207="","responsável, ","")&amp;IF($D207="","tipo, ","")&amp;IF($I207="","canal, ","")&amp;IF($H207="","município, ","")&amp;IF(AND($U207="Sim",$E207=""),"empresa, ","")&amp;IF(AND($U207="Sim",$F207=""),"editor, ","")&amp;IF(AND($K207="Concluído",$N207=""),"data de conclusão, ","")&amp;IF(AND($K207="Concluído",$R207=""),"link, ","")&amp;IF(AND($K207="Concluído",$L207=""),"quem liberou, ",""),LEN(IF($J207="","título, ","")&amp;IF($C207="","responsável, ","")&amp;IF($D207="","tipo, ","")&amp;IF($I207="","canal, ","")&amp;IF($H207="","município, ","")&amp;IF(AND($U207="Sim",$E207=""),"empresa, ","")&amp;IF(AND($U207="Sim",$F207=""),"editor, ","")&amp;IF(AND($K207="Concluído",$N207=""),"data de conclusão, ","")&amp;IF(AND($K207="Concluído",$R207=""),"link, ","")&amp;IF(AND($K207="Concluído",$L207=""),"quem liberou, ",""))-2)))</f>
        <v/>
      </c>
      <c r="R207" s="38"/>
      <c r="S207" s="38"/>
      <c r="T207" s="38"/>
      <c r="U207" s="40" t="str">
        <f aca="false">IF($A207="","",IFERROR(INDEX(Listas!$E$5:$E$64,MATCH($D207,Listas!$C$5:$C$64,0)),"Não"))</f>
        <v/>
      </c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9" t="str">
        <f aca="false">IF(OR($A208="",$D208=""),"",$A208+IFERROR(INDEX(Listas!$D$5:$D$64,MATCH($D208,Listas!$C$5:$C$64,0)),3))</f>
        <v/>
      </c>
      <c r="N208" s="37"/>
      <c r="O208" s="40" t="str">
        <f aca="false">IF($A208="","",IF($K208="Concluído","Sim","Não"))</f>
        <v/>
      </c>
      <c r="P208" s="40" t="str">
        <f aca="true">IF($A208="","",IF($K208="Stand-by","Stand-by",IF($K208="Concluído","Concluída",IF(AND($M208&lt;&gt;"",$M208&lt;TODAY()),"Atrasada","Em dia"))))</f>
        <v/>
      </c>
      <c r="Q208" s="40" t="str">
        <f aca="false">IF($A208="","",IF(LEN(IF($J208="","título, ","")&amp;IF($C208="","responsável, ","")&amp;IF($D208="","tipo, ","")&amp;IF($I208="","canal, ","")&amp;IF($H208="","município, ","")&amp;IF(AND($U208="Sim",$E208=""),"empresa, ","")&amp;IF(AND($U208="Sim",$F208=""),"editor, ","")&amp;IF(AND($K208="Concluído",$N208=""),"data de conclusão, ","")&amp;IF(AND($K208="Concluído",$R208=""),"link, ","")&amp;IF(AND($K208="Concluído",$L208=""),"quem liberou, ",""))=0,"OK","Falta "&amp;LEFT(IF($J208="","título, ","")&amp;IF($C208="","responsável, ","")&amp;IF($D208="","tipo, ","")&amp;IF($I208="","canal, ","")&amp;IF($H208="","município, ","")&amp;IF(AND($U208="Sim",$E208=""),"empresa, ","")&amp;IF(AND($U208="Sim",$F208=""),"editor, ","")&amp;IF(AND($K208="Concluído",$N208=""),"data de conclusão, ","")&amp;IF(AND($K208="Concluído",$R208=""),"link, ","")&amp;IF(AND($K208="Concluído",$L208=""),"quem liberou, ",""),LEN(IF($J208="","título, ","")&amp;IF($C208="","responsável, ","")&amp;IF($D208="","tipo, ","")&amp;IF($I208="","canal, ","")&amp;IF($H208="","município, ","")&amp;IF(AND($U208="Sim",$E208=""),"empresa, ","")&amp;IF(AND($U208="Sim",$F208=""),"editor, ","")&amp;IF(AND($K208="Concluído",$N208=""),"data de conclusão, ","")&amp;IF(AND($K208="Concluído",$R208=""),"link, ","")&amp;IF(AND($K208="Concluído",$L208=""),"quem liberou, ",""))-2)))</f>
        <v/>
      </c>
      <c r="R208" s="38"/>
      <c r="S208" s="38"/>
      <c r="T208" s="38"/>
      <c r="U208" s="40" t="str">
        <f aca="false">IF($A208="","",IFERROR(INDEX(Listas!$E$5:$E$64,MATCH($D208,Listas!$C$5:$C$64,0)),"Não"))</f>
        <v/>
      </c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9" t="str">
        <f aca="false">IF(OR($A209="",$D209=""),"",$A209+IFERROR(INDEX(Listas!$D$5:$D$64,MATCH($D209,Listas!$C$5:$C$64,0)),3))</f>
        <v/>
      </c>
      <c r="N209" s="37"/>
      <c r="O209" s="40" t="str">
        <f aca="false">IF($A209="","",IF($K209="Concluído","Sim","Não"))</f>
        <v/>
      </c>
      <c r="P209" s="40" t="str">
        <f aca="true">IF($A209="","",IF($K209="Stand-by","Stand-by",IF($K209="Concluído","Concluída",IF(AND($M209&lt;&gt;"",$M209&lt;TODAY()),"Atrasada","Em dia"))))</f>
        <v/>
      </c>
      <c r="Q209" s="40" t="str">
        <f aca="false">IF($A209="","",IF(LEN(IF($J209="","título, ","")&amp;IF($C209="","responsável, ","")&amp;IF($D209="","tipo, ","")&amp;IF($I209="","canal, ","")&amp;IF($H209="","município, ","")&amp;IF(AND($U209="Sim",$E209=""),"empresa, ","")&amp;IF(AND($U209="Sim",$F209=""),"editor, ","")&amp;IF(AND($K209="Concluído",$N209=""),"data de conclusão, ","")&amp;IF(AND($K209="Concluído",$R209=""),"link, ","")&amp;IF(AND($K209="Concluído",$L209=""),"quem liberou, ",""))=0,"OK","Falta "&amp;LEFT(IF($J209="","título, ","")&amp;IF($C209="","responsável, ","")&amp;IF($D209="","tipo, ","")&amp;IF($I209="","canal, ","")&amp;IF($H209="","município, ","")&amp;IF(AND($U209="Sim",$E209=""),"empresa, ","")&amp;IF(AND($U209="Sim",$F209=""),"editor, ","")&amp;IF(AND($K209="Concluído",$N209=""),"data de conclusão, ","")&amp;IF(AND($K209="Concluído",$R209=""),"link, ","")&amp;IF(AND($K209="Concluído",$L209=""),"quem liberou, ",""),LEN(IF($J209="","título, ","")&amp;IF($C209="","responsável, ","")&amp;IF($D209="","tipo, ","")&amp;IF($I209="","canal, ","")&amp;IF($H209="","município, ","")&amp;IF(AND($U209="Sim",$E209=""),"empresa, ","")&amp;IF(AND($U209="Sim",$F209=""),"editor, ","")&amp;IF(AND($K209="Concluído",$N209=""),"data de conclusão, ","")&amp;IF(AND($K209="Concluído",$R209=""),"link, ","")&amp;IF(AND($K209="Concluído",$L209=""),"quem liberou, ",""))-2)))</f>
        <v/>
      </c>
      <c r="R209" s="38"/>
      <c r="S209" s="38"/>
      <c r="T209" s="38"/>
      <c r="U209" s="40" t="str">
        <f aca="false">IF($A209="","",IFERROR(INDEX(Listas!$E$5:$E$64,MATCH($D209,Listas!$C$5:$C$64,0)),"Não"))</f>
        <v/>
      </c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9" t="str">
        <f aca="false">IF(OR($A210="",$D210=""),"",$A210+IFERROR(INDEX(Listas!$D$5:$D$64,MATCH($D210,Listas!$C$5:$C$64,0)),3))</f>
        <v/>
      </c>
      <c r="N210" s="37"/>
      <c r="O210" s="40" t="str">
        <f aca="false">IF($A210="","",IF($K210="Concluído","Sim","Não"))</f>
        <v/>
      </c>
      <c r="P210" s="40" t="str">
        <f aca="true">IF($A210="","",IF($K210="Stand-by","Stand-by",IF($K210="Concluído","Concluída",IF(AND($M210&lt;&gt;"",$M210&lt;TODAY()),"Atrasada","Em dia"))))</f>
        <v/>
      </c>
      <c r="Q210" s="40" t="str">
        <f aca="false">IF($A210="","",IF(LEN(IF($J210="","título, ","")&amp;IF($C210="","responsável, ","")&amp;IF($D210="","tipo, ","")&amp;IF($I210="","canal, ","")&amp;IF($H210="","município, ","")&amp;IF(AND($U210="Sim",$E210=""),"empresa, ","")&amp;IF(AND($U210="Sim",$F210=""),"editor, ","")&amp;IF(AND($K210="Concluído",$N210=""),"data de conclusão, ","")&amp;IF(AND($K210="Concluído",$R210=""),"link, ","")&amp;IF(AND($K210="Concluído",$L210=""),"quem liberou, ",""))=0,"OK","Falta "&amp;LEFT(IF($J210="","título, ","")&amp;IF($C210="","responsável, ","")&amp;IF($D210="","tipo, ","")&amp;IF($I210="","canal, ","")&amp;IF($H210="","município, ","")&amp;IF(AND($U210="Sim",$E210=""),"empresa, ","")&amp;IF(AND($U210="Sim",$F210=""),"editor, ","")&amp;IF(AND($K210="Concluído",$N210=""),"data de conclusão, ","")&amp;IF(AND($K210="Concluído",$R210=""),"link, ","")&amp;IF(AND($K210="Concluído",$L210=""),"quem liberou, ",""),LEN(IF($J210="","título, ","")&amp;IF($C210="","responsável, ","")&amp;IF($D210="","tipo, ","")&amp;IF($I210="","canal, ","")&amp;IF($H210="","município, ","")&amp;IF(AND($U210="Sim",$E210=""),"empresa, ","")&amp;IF(AND($U210="Sim",$F210=""),"editor, ","")&amp;IF(AND($K210="Concluído",$N210=""),"data de conclusão, ","")&amp;IF(AND($K210="Concluído",$R210=""),"link, ","")&amp;IF(AND($K210="Concluído",$L210=""),"quem liberou, ",""))-2)))</f>
        <v/>
      </c>
      <c r="R210" s="38"/>
      <c r="S210" s="38"/>
      <c r="T210" s="38"/>
      <c r="U210" s="40" t="str">
        <f aca="false">IF($A210="","",IFERROR(INDEX(Listas!$E$5:$E$64,MATCH($D210,Listas!$C$5:$C$64,0)),"Não"))</f>
        <v/>
      </c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9" t="str">
        <f aca="false">IF(OR($A211="",$D211=""),"",$A211+IFERROR(INDEX(Listas!$D$5:$D$64,MATCH($D211,Listas!$C$5:$C$64,0)),3))</f>
        <v/>
      </c>
      <c r="N211" s="37"/>
      <c r="O211" s="40" t="str">
        <f aca="false">IF($A211="","",IF($K211="Concluído","Sim","Não"))</f>
        <v/>
      </c>
      <c r="P211" s="40" t="str">
        <f aca="true">IF($A211="","",IF($K211="Stand-by","Stand-by",IF($K211="Concluído","Concluída",IF(AND($M211&lt;&gt;"",$M211&lt;TODAY()),"Atrasada","Em dia"))))</f>
        <v/>
      </c>
      <c r="Q211" s="40" t="str">
        <f aca="false">IF($A211="","",IF(LEN(IF($J211="","título, ","")&amp;IF($C211="","responsável, ","")&amp;IF($D211="","tipo, ","")&amp;IF($I211="","canal, ","")&amp;IF($H211="","município, ","")&amp;IF(AND($U211="Sim",$E211=""),"empresa, ","")&amp;IF(AND($U211="Sim",$F211=""),"editor, ","")&amp;IF(AND($K211="Concluído",$N211=""),"data de conclusão, ","")&amp;IF(AND($K211="Concluído",$R211=""),"link, ","")&amp;IF(AND($K211="Concluído",$L211=""),"quem liberou, ",""))=0,"OK","Falta "&amp;LEFT(IF($J211="","título, ","")&amp;IF($C211="","responsável, ","")&amp;IF($D211="","tipo, ","")&amp;IF($I211="","canal, ","")&amp;IF($H211="","município, ","")&amp;IF(AND($U211="Sim",$E211=""),"empresa, ","")&amp;IF(AND($U211="Sim",$F211=""),"editor, ","")&amp;IF(AND($K211="Concluído",$N211=""),"data de conclusão, ","")&amp;IF(AND($K211="Concluído",$R211=""),"link, ","")&amp;IF(AND($K211="Concluído",$L211=""),"quem liberou, ",""),LEN(IF($J211="","título, ","")&amp;IF($C211="","responsável, ","")&amp;IF($D211="","tipo, ","")&amp;IF($I211="","canal, ","")&amp;IF($H211="","município, ","")&amp;IF(AND($U211="Sim",$E211=""),"empresa, ","")&amp;IF(AND($U211="Sim",$F211=""),"editor, ","")&amp;IF(AND($K211="Concluído",$N211=""),"data de conclusão, ","")&amp;IF(AND($K211="Concluído",$R211=""),"link, ","")&amp;IF(AND($K211="Concluído",$L211=""),"quem liberou, ",""))-2)))</f>
        <v/>
      </c>
      <c r="R211" s="38"/>
      <c r="S211" s="38"/>
      <c r="T211" s="38"/>
      <c r="U211" s="40" t="str">
        <f aca="false">IF($A211="","",IFERROR(INDEX(Listas!$E$5:$E$64,MATCH($D211,Listas!$C$5:$C$64,0)),"Não"))</f>
        <v/>
      </c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9" t="str">
        <f aca="false">IF(OR($A212="",$D212=""),"",$A212+IFERROR(INDEX(Listas!$D$5:$D$64,MATCH($D212,Listas!$C$5:$C$64,0)),3))</f>
        <v/>
      </c>
      <c r="N212" s="37"/>
      <c r="O212" s="40" t="str">
        <f aca="false">IF($A212="","",IF($K212="Concluído","Sim","Não"))</f>
        <v/>
      </c>
      <c r="P212" s="40" t="str">
        <f aca="true">IF($A212="","",IF($K212="Stand-by","Stand-by",IF($K212="Concluído","Concluída",IF(AND($M212&lt;&gt;"",$M212&lt;TODAY()),"Atrasada","Em dia"))))</f>
        <v/>
      </c>
      <c r="Q212" s="40" t="str">
        <f aca="false">IF($A212="","",IF(LEN(IF($J212="","título, ","")&amp;IF($C212="","responsável, ","")&amp;IF($D212="","tipo, ","")&amp;IF($I212="","canal, ","")&amp;IF($H212="","município, ","")&amp;IF(AND($U212="Sim",$E212=""),"empresa, ","")&amp;IF(AND($U212="Sim",$F212=""),"editor, ","")&amp;IF(AND($K212="Concluído",$N212=""),"data de conclusão, ","")&amp;IF(AND($K212="Concluído",$R212=""),"link, ","")&amp;IF(AND($K212="Concluído",$L212=""),"quem liberou, ",""))=0,"OK","Falta "&amp;LEFT(IF($J212="","título, ","")&amp;IF($C212="","responsável, ","")&amp;IF($D212="","tipo, ","")&amp;IF($I212="","canal, ","")&amp;IF($H212="","município, ","")&amp;IF(AND($U212="Sim",$E212=""),"empresa, ","")&amp;IF(AND($U212="Sim",$F212=""),"editor, ","")&amp;IF(AND($K212="Concluído",$N212=""),"data de conclusão, ","")&amp;IF(AND($K212="Concluído",$R212=""),"link, ","")&amp;IF(AND($K212="Concluído",$L212=""),"quem liberou, ",""),LEN(IF($J212="","título, ","")&amp;IF($C212="","responsável, ","")&amp;IF($D212="","tipo, ","")&amp;IF($I212="","canal, ","")&amp;IF($H212="","município, ","")&amp;IF(AND($U212="Sim",$E212=""),"empresa, ","")&amp;IF(AND($U212="Sim",$F212=""),"editor, ","")&amp;IF(AND($K212="Concluído",$N212=""),"data de conclusão, ","")&amp;IF(AND($K212="Concluído",$R212=""),"link, ","")&amp;IF(AND($K212="Concluído",$L212=""),"quem liberou, ",""))-2)))</f>
        <v/>
      </c>
      <c r="R212" s="38"/>
      <c r="S212" s="38"/>
      <c r="T212" s="38"/>
      <c r="U212" s="40" t="str">
        <f aca="false">IF($A212="","",IFERROR(INDEX(Listas!$E$5:$E$64,MATCH($D212,Listas!$C$5:$C$64,0)),"Não"))</f>
        <v/>
      </c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9" t="str">
        <f aca="false">IF(OR($A213="",$D213=""),"",$A213+IFERROR(INDEX(Listas!$D$5:$D$64,MATCH($D213,Listas!$C$5:$C$64,0)),3))</f>
        <v/>
      </c>
      <c r="N213" s="37"/>
      <c r="O213" s="40" t="str">
        <f aca="false">IF($A213="","",IF($K213="Concluído","Sim","Não"))</f>
        <v/>
      </c>
      <c r="P213" s="40" t="str">
        <f aca="true">IF($A213="","",IF($K213="Stand-by","Stand-by",IF($K213="Concluído","Concluída",IF(AND($M213&lt;&gt;"",$M213&lt;TODAY()),"Atrasada","Em dia"))))</f>
        <v/>
      </c>
      <c r="Q213" s="40" t="str">
        <f aca="false">IF($A213="","",IF(LEN(IF($J213="","título, ","")&amp;IF($C213="","responsável, ","")&amp;IF($D213="","tipo, ","")&amp;IF($I213="","canal, ","")&amp;IF($H213="","município, ","")&amp;IF(AND($U213="Sim",$E213=""),"empresa, ","")&amp;IF(AND($U213="Sim",$F213=""),"editor, ","")&amp;IF(AND($K213="Concluído",$N213=""),"data de conclusão, ","")&amp;IF(AND($K213="Concluído",$R213=""),"link, ","")&amp;IF(AND($K213="Concluído",$L213=""),"quem liberou, ",""))=0,"OK","Falta "&amp;LEFT(IF($J213="","título, ","")&amp;IF($C213="","responsável, ","")&amp;IF($D213="","tipo, ","")&amp;IF($I213="","canal, ","")&amp;IF($H213="","município, ","")&amp;IF(AND($U213="Sim",$E213=""),"empresa, ","")&amp;IF(AND($U213="Sim",$F213=""),"editor, ","")&amp;IF(AND($K213="Concluído",$N213=""),"data de conclusão, ","")&amp;IF(AND($K213="Concluído",$R213=""),"link, ","")&amp;IF(AND($K213="Concluído",$L213=""),"quem liberou, ",""),LEN(IF($J213="","título, ","")&amp;IF($C213="","responsável, ","")&amp;IF($D213="","tipo, ","")&amp;IF($I213="","canal, ","")&amp;IF($H213="","município, ","")&amp;IF(AND($U213="Sim",$E213=""),"empresa, ","")&amp;IF(AND($U213="Sim",$F213=""),"editor, ","")&amp;IF(AND($K213="Concluído",$N213=""),"data de conclusão, ","")&amp;IF(AND($K213="Concluído",$R213=""),"link, ","")&amp;IF(AND($K213="Concluído",$L213=""),"quem liberou, ",""))-2)))</f>
        <v/>
      </c>
      <c r="R213" s="38"/>
      <c r="S213" s="38"/>
      <c r="T213" s="38"/>
      <c r="U213" s="40" t="str">
        <f aca="false">IF($A213="","",IFERROR(INDEX(Listas!$E$5:$E$64,MATCH($D213,Listas!$C$5:$C$64,0)),"Não"))</f>
        <v/>
      </c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9" t="str">
        <f aca="false">IF(OR($A214="",$D214=""),"",$A214+IFERROR(INDEX(Listas!$D$5:$D$64,MATCH($D214,Listas!$C$5:$C$64,0)),3))</f>
        <v/>
      </c>
      <c r="N214" s="37"/>
      <c r="O214" s="40" t="str">
        <f aca="false">IF($A214="","",IF($K214="Concluído","Sim","Não"))</f>
        <v/>
      </c>
      <c r="P214" s="40" t="str">
        <f aca="true">IF($A214="","",IF($K214="Stand-by","Stand-by",IF($K214="Concluído","Concluída",IF(AND($M214&lt;&gt;"",$M214&lt;TODAY()),"Atrasada","Em dia"))))</f>
        <v/>
      </c>
      <c r="Q214" s="40" t="str">
        <f aca="false">IF($A214="","",IF(LEN(IF($J214="","título, ","")&amp;IF($C214="","responsável, ","")&amp;IF($D214="","tipo, ","")&amp;IF($I214="","canal, ","")&amp;IF($H214="","município, ","")&amp;IF(AND($U214="Sim",$E214=""),"empresa, ","")&amp;IF(AND($U214="Sim",$F214=""),"editor, ","")&amp;IF(AND($K214="Concluído",$N214=""),"data de conclusão, ","")&amp;IF(AND($K214="Concluído",$R214=""),"link, ","")&amp;IF(AND($K214="Concluído",$L214=""),"quem liberou, ",""))=0,"OK","Falta "&amp;LEFT(IF($J214="","título, ","")&amp;IF($C214="","responsável, ","")&amp;IF($D214="","tipo, ","")&amp;IF($I214="","canal, ","")&amp;IF($H214="","município, ","")&amp;IF(AND($U214="Sim",$E214=""),"empresa, ","")&amp;IF(AND($U214="Sim",$F214=""),"editor, ","")&amp;IF(AND($K214="Concluído",$N214=""),"data de conclusão, ","")&amp;IF(AND($K214="Concluído",$R214=""),"link, ","")&amp;IF(AND($K214="Concluído",$L214=""),"quem liberou, ",""),LEN(IF($J214="","título, ","")&amp;IF($C214="","responsável, ","")&amp;IF($D214="","tipo, ","")&amp;IF($I214="","canal, ","")&amp;IF($H214="","município, ","")&amp;IF(AND($U214="Sim",$E214=""),"empresa, ","")&amp;IF(AND($U214="Sim",$F214=""),"editor, ","")&amp;IF(AND($K214="Concluído",$N214=""),"data de conclusão, ","")&amp;IF(AND($K214="Concluído",$R214=""),"link, ","")&amp;IF(AND($K214="Concluído",$L214=""),"quem liberou, ",""))-2)))</f>
        <v/>
      </c>
      <c r="R214" s="38"/>
      <c r="S214" s="38"/>
      <c r="T214" s="38"/>
      <c r="U214" s="40" t="str">
        <f aca="false">IF($A214="","",IFERROR(INDEX(Listas!$E$5:$E$64,MATCH($D214,Listas!$C$5:$C$64,0)),"Não"))</f>
        <v/>
      </c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9" t="str">
        <f aca="false">IF(OR($A215="",$D215=""),"",$A215+IFERROR(INDEX(Listas!$D$5:$D$64,MATCH($D215,Listas!$C$5:$C$64,0)),3))</f>
        <v/>
      </c>
      <c r="N215" s="37"/>
      <c r="O215" s="40" t="str">
        <f aca="false">IF($A215="","",IF($K215="Concluído","Sim","Não"))</f>
        <v/>
      </c>
      <c r="P215" s="40" t="str">
        <f aca="true">IF($A215="","",IF($K215="Stand-by","Stand-by",IF($K215="Concluído","Concluída",IF(AND($M215&lt;&gt;"",$M215&lt;TODAY()),"Atrasada","Em dia"))))</f>
        <v/>
      </c>
      <c r="Q215" s="40" t="str">
        <f aca="false">IF($A215="","",IF(LEN(IF($J215="","título, ","")&amp;IF($C215="","responsável, ","")&amp;IF($D215="","tipo, ","")&amp;IF($I215="","canal, ","")&amp;IF($H215="","município, ","")&amp;IF(AND($U215="Sim",$E215=""),"empresa, ","")&amp;IF(AND($U215="Sim",$F215=""),"editor, ","")&amp;IF(AND($K215="Concluído",$N215=""),"data de conclusão, ","")&amp;IF(AND($K215="Concluído",$R215=""),"link, ","")&amp;IF(AND($K215="Concluído",$L215=""),"quem liberou, ",""))=0,"OK","Falta "&amp;LEFT(IF($J215="","título, ","")&amp;IF($C215="","responsável, ","")&amp;IF($D215="","tipo, ","")&amp;IF($I215="","canal, ","")&amp;IF($H215="","município, ","")&amp;IF(AND($U215="Sim",$E215=""),"empresa, ","")&amp;IF(AND($U215="Sim",$F215=""),"editor, ","")&amp;IF(AND($K215="Concluído",$N215=""),"data de conclusão, ","")&amp;IF(AND($K215="Concluído",$R215=""),"link, ","")&amp;IF(AND($K215="Concluído",$L215=""),"quem liberou, ",""),LEN(IF($J215="","título, ","")&amp;IF($C215="","responsável, ","")&amp;IF($D215="","tipo, ","")&amp;IF($I215="","canal, ","")&amp;IF($H215="","município, ","")&amp;IF(AND($U215="Sim",$E215=""),"empresa, ","")&amp;IF(AND($U215="Sim",$F215=""),"editor, ","")&amp;IF(AND($K215="Concluído",$N215=""),"data de conclusão, ","")&amp;IF(AND($K215="Concluído",$R215=""),"link, ","")&amp;IF(AND($K215="Concluído",$L215=""),"quem liberou, ",""))-2)))</f>
        <v/>
      </c>
      <c r="R215" s="38"/>
      <c r="S215" s="38"/>
      <c r="T215" s="38"/>
      <c r="U215" s="40" t="str">
        <f aca="false">IF($A215="","",IFERROR(INDEX(Listas!$E$5:$E$64,MATCH($D215,Listas!$C$5:$C$64,0)),"Não"))</f>
        <v/>
      </c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9" t="str">
        <f aca="false">IF(OR($A216="",$D216=""),"",$A216+IFERROR(INDEX(Listas!$D$5:$D$64,MATCH($D216,Listas!$C$5:$C$64,0)),3))</f>
        <v/>
      </c>
      <c r="N216" s="37"/>
      <c r="O216" s="40" t="str">
        <f aca="false">IF($A216="","",IF($K216="Concluído","Sim","Não"))</f>
        <v/>
      </c>
      <c r="P216" s="40" t="str">
        <f aca="true">IF($A216="","",IF($K216="Stand-by","Stand-by",IF($K216="Concluído","Concluída",IF(AND($M216&lt;&gt;"",$M216&lt;TODAY()),"Atrasada","Em dia"))))</f>
        <v/>
      </c>
      <c r="Q216" s="40" t="str">
        <f aca="false">IF($A216="","",IF(LEN(IF($J216="","título, ","")&amp;IF($C216="","responsável, ","")&amp;IF($D216="","tipo, ","")&amp;IF($I216="","canal, ","")&amp;IF($H216="","município, ","")&amp;IF(AND($U216="Sim",$E216=""),"empresa, ","")&amp;IF(AND($U216="Sim",$F216=""),"editor, ","")&amp;IF(AND($K216="Concluído",$N216=""),"data de conclusão, ","")&amp;IF(AND($K216="Concluído",$R216=""),"link, ","")&amp;IF(AND($K216="Concluído",$L216=""),"quem liberou, ",""))=0,"OK","Falta "&amp;LEFT(IF($J216="","título, ","")&amp;IF($C216="","responsável, ","")&amp;IF($D216="","tipo, ","")&amp;IF($I216="","canal, ","")&amp;IF($H216="","município, ","")&amp;IF(AND($U216="Sim",$E216=""),"empresa, ","")&amp;IF(AND($U216="Sim",$F216=""),"editor, ","")&amp;IF(AND($K216="Concluído",$N216=""),"data de conclusão, ","")&amp;IF(AND($K216="Concluído",$R216=""),"link, ","")&amp;IF(AND($K216="Concluído",$L216=""),"quem liberou, ",""),LEN(IF($J216="","título, ","")&amp;IF($C216="","responsável, ","")&amp;IF($D216="","tipo, ","")&amp;IF($I216="","canal, ","")&amp;IF($H216="","município, ","")&amp;IF(AND($U216="Sim",$E216=""),"empresa, ","")&amp;IF(AND($U216="Sim",$F216=""),"editor, ","")&amp;IF(AND($K216="Concluído",$N216=""),"data de conclusão, ","")&amp;IF(AND($K216="Concluído",$R216=""),"link, ","")&amp;IF(AND($K216="Concluído",$L216=""),"quem liberou, ",""))-2)))</f>
        <v/>
      </c>
      <c r="R216" s="38"/>
      <c r="S216" s="38"/>
      <c r="T216" s="38"/>
      <c r="U216" s="40" t="str">
        <f aca="false">IF($A216="","",IFERROR(INDEX(Listas!$E$5:$E$64,MATCH($D216,Listas!$C$5:$C$64,0)),"Não"))</f>
        <v/>
      </c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9" t="str">
        <f aca="false">IF(OR($A217="",$D217=""),"",$A217+IFERROR(INDEX(Listas!$D$5:$D$64,MATCH($D217,Listas!$C$5:$C$64,0)),3))</f>
        <v/>
      </c>
      <c r="N217" s="37"/>
      <c r="O217" s="40" t="str">
        <f aca="false">IF($A217="","",IF($K217="Concluído","Sim","Não"))</f>
        <v/>
      </c>
      <c r="P217" s="40" t="str">
        <f aca="true">IF($A217="","",IF($K217="Stand-by","Stand-by",IF($K217="Concluído","Concluída",IF(AND($M217&lt;&gt;"",$M217&lt;TODAY()),"Atrasada","Em dia"))))</f>
        <v/>
      </c>
      <c r="Q217" s="40" t="str">
        <f aca="false">IF($A217="","",IF(LEN(IF($J217="","título, ","")&amp;IF($C217="","responsável, ","")&amp;IF($D217="","tipo, ","")&amp;IF($I217="","canal, ","")&amp;IF($H217="","município, ","")&amp;IF(AND($U217="Sim",$E217=""),"empresa, ","")&amp;IF(AND($U217="Sim",$F217=""),"editor, ","")&amp;IF(AND($K217="Concluído",$N217=""),"data de conclusão, ","")&amp;IF(AND($K217="Concluído",$R217=""),"link, ","")&amp;IF(AND($K217="Concluído",$L217=""),"quem liberou, ",""))=0,"OK","Falta "&amp;LEFT(IF($J217="","título, ","")&amp;IF($C217="","responsável, ","")&amp;IF($D217="","tipo, ","")&amp;IF($I217="","canal, ","")&amp;IF($H217="","município, ","")&amp;IF(AND($U217="Sim",$E217=""),"empresa, ","")&amp;IF(AND($U217="Sim",$F217=""),"editor, ","")&amp;IF(AND($K217="Concluído",$N217=""),"data de conclusão, ","")&amp;IF(AND($K217="Concluído",$R217=""),"link, ","")&amp;IF(AND($K217="Concluído",$L217=""),"quem liberou, ",""),LEN(IF($J217="","título, ","")&amp;IF($C217="","responsável, ","")&amp;IF($D217="","tipo, ","")&amp;IF($I217="","canal, ","")&amp;IF($H217="","município, ","")&amp;IF(AND($U217="Sim",$E217=""),"empresa, ","")&amp;IF(AND($U217="Sim",$F217=""),"editor, ","")&amp;IF(AND($K217="Concluído",$N217=""),"data de conclusão, ","")&amp;IF(AND($K217="Concluído",$R217=""),"link, ","")&amp;IF(AND($K217="Concluído",$L217=""),"quem liberou, ",""))-2)))</f>
        <v/>
      </c>
      <c r="R217" s="38"/>
      <c r="S217" s="38"/>
      <c r="T217" s="38"/>
      <c r="U217" s="40" t="str">
        <f aca="false">IF($A217="","",IFERROR(INDEX(Listas!$E$5:$E$64,MATCH($D217,Listas!$C$5:$C$64,0)),"Não"))</f>
        <v/>
      </c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9" t="str">
        <f aca="false">IF(OR($A218="",$D218=""),"",$A218+IFERROR(INDEX(Listas!$D$5:$D$64,MATCH($D218,Listas!$C$5:$C$64,0)),3))</f>
        <v/>
      </c>
      <c r="N218" s="37"/>
      <c r="O218" s="40" t="str">
        <f aca="false">IF($A218="","",IF($K218="Concluído","Sim","Não"))</f>
        <v/>
      </c>
      <c r="P218" s="40" t="str">
        <f aca="true">IF($A218="","",IF($K218="Stand-by","Stand-by",IF($K218="Concluído","Concluída",IF(AND($M218&lt;&gt;"",$M218&lt;TODAY()),"Atrasada","Em dia"))))</f>
        <v/>
      </c>
      <c r="Q218" s="40" t="str">
        <f aca="false">IF($A218="","",IF(LEN(IF($J218="","título, ","")&amp;IF($C218="","responsável, ","")&amp;IF($D218="","tipo, ","")&amp;IF($I218="","canal, ","")&amp;IF($H218="","município, ","")&amp;IF(AND($U218="Sim",$E218=""),"empresa, ","")&amp;IF(AND($U218="Sim",$F218=""),"editor, ","")&amp;IF(AND($K218="Concluído",$N218=""),"data de conclusão, ","")&amp;IF(AND($K218="Concluído",$R218=""),"link, ","")&amp;IF(AND($K218="Concluído",$L218=""),"quem liberou, ",""))=0,"OK","Falta "&amp;LEFT(IF($J218="","título, ","")&amp;IF($C218="","responsável, ","")&amp;IF($D218="","tipo, ","")&amp;IF($I218="","canal, ","")&amp;IF($H218="","município, ","")&amp;IF(AND($U218="Sim",$E218=""),"empresa, ","")&amp;IF(AND($U218="Sim",$F218=""),"editor, ","")&amp;IF(AND($K218="Concluído",$N218=""),"data de conclusão, ","")&amp;IF(AND($K218="Concluído",$R218=""),"link, ","")&amp;IF(AND($K218="Concluído",$L218=""),"quem liberou, ",""),LEN(IF($J218="","título, ","")&amp;IF($C218="","responsável, ","")&amp;IF($D218="","tipo, ","")&amp;IF($I218="","canal, ","")&amp;IF($H218="","município, ","")&amp;IF(AND($U218="Sim",$E218=""),"empresa, ","")&amp;IF(AND($U218="Sim",$F218=""),"editor, ","")&amp;IF(AND($K218="Concluído",$N218=""),"data de conclusão, ","")&amp;IF(AND($K218="Concluído",$R218=""),"link, ","")&amp;IF(AND($K218="Concluído",$L218=""),"quem liberou, ",""))-2)))</f>
        <v/>
      </c>
      <c r="R218" s="38"/>
      <c r="S218" s="38"/>
      <c r="T218" s="38"/>
      <c r="U218" s="40" t="str">
        <f aca="false">IF($A218="","",IFERROR(INDEX(Listas!$E$5:$E$64,MATCH($D218,Listas!$C$5:$C$64,0)),"Não"))</f>
        <v/>
      </c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9" t="str">
        <f aca="false">IF(OR($A219="",$D219=""),"",$A219+IFERROR(INDEX(Listas!$D$5:$D$64,MATCH($D219,Listas!$C$5:$C$64,0)),3))</f>
        <v/>
      </c>
      <c r="N219" s="37"/>
      <c r="O219" s="40" t="str">
        <f aca="false">IF($A219="","",IF($K219="Concluído","Sim","Não"))</f>
        <v/>
      </c>
      <c r="P219" s="40" t="str">
        <f aca="true">IF($A219="","",IF($K219="Stand-by","Stand-by",IF($K219="Concluído","Concluída",IF(AND($M219&lt;&gt;"",$M219&lt;TODAY()),"Atrasada","Em dia"))))</f>
        <v/>
      </c>
      <c r="Q219" s="40" t="str">
        <f aca="false">IF($A219="","",IF(LEN(IF($J219="","título, ","")&amp;IF($C219="","responsável, ","")&amp;IF($D219="","tipo, ","")&amp;IF($I219="","canal, ","")&amp;IF($H219="","município, ","")&amp;IF(AND($U219="Sim",$E219=""),"empresa, ","")&amp;IF(AND($U219="Sim",$F219=""),"editor, ","")&amp;IF(AND($K219="Concluído",$N219=""),"data de conclusão, ","")&amp;IF(AND($K219="Concluído",$R219=""),"link, ","")&amp;IF(AND($K219="Concluído",$L219=""),"quem liberou, ",""))=0,"OK","Falta "&amp;LEFT(IF($J219="","título, ","")&amp;IF($C219="","responsável, ","")&amp;IF($D219="","tipo, ","")&amp;IF($I219="","canal, ","")&amp;IF($H219="","município, ","")&amp;IF(AND($U219="Sim",$E219=""),"empresa, ","")&amp;IF(AND($U219="Sim",$F219=""),"editor, ","")&amp;IF(AND($K219="Concluído",$N219=""),"data de conclusão, ","")&amp;IF(AND($K219="Concluído",$R219=""),"link, ","")&amp;IF(AND($K219="Concluído",$L219=""),"quem liberou, ",""),LEN(IF($J219="","título, ","")&amp;IF($C219="","responsável, ","")&amp;IF($D219="","tipo, ","")&amp;IF($I219="","canal, ","")&amp;IF($H219="","município, ","")&amp;IF(AND($U219="Sim",$E219=""),"empresa, ","")&amp;IF(AND($U219="Sim",$F219=""),"editor, ","")&amp;IF(AND($K219="Concluído",$N219=""),"data de conclusão, ","")&amp;IF(AND($K219="Concluído",$R219=""),"link, ","")&amp;IF(AND($K219="Concluído",$L219=""),"quem liberou, ",""))-2)))</f>
        <v/>
      </c>
      <c r="R219" s="38"/>
      <c r="S219" s="38"/>
      <c r="T219" s="38"/>
      <c r="U219" s="40" t="str">
        <f aca="false">IF($A219="","",IFERROR(INDEX(Listas!$E$5:$E$64,MATCH($D219,Listas!$C$5:$C$64,0)),"Não"))</f>
        <v/>
      </c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9" t="str">
        <f aca="false">IF(OR($A220="",$D220=""),"",$A220+IFERROR(INDEX(Listas!$D$5:$D$64,MATCH($D220,Listas!$C$5:$C$64,0)),3))</f>
        <v/>
      </c>
      <c r="N220" s="37"/>
      <c r="O220" s="40" t="str">
        <f aca="false">IF($A220="","",IF($K220="Concluído","Sim","Não"))</f>
        <v/>
      </c>
      <c r="P220" s="40" t="str">
        <f aca="true">IF($A220="","",IF($K220="Stand-by","Stand-by",IF($K220="Concluído","Concluída",IF(AND($M220&lt;&gt;"",$M220&lt;TODAY()),"Atrasada","Em dia"))))</f>
        <v/>
      </c>
      <c r="Q220" s="40" t="str">
        <f aca="false">IF($A220="","",IF(LEN(IF($J220="","título, ","")&amp;IF($C220="","responsável, ","")&amp;IF($D220="","tipo, ","")&amp;IF($I220="","canal, ","")&amp;IF($H220="","município, ","")&amp;IF(AND($U220="Sim",$E220=""),"empresa, ","")&amp;IF(AND($U220="Sim",$F220=""),"editor, ","")&amp;IF(AND($K220="Concluído",$N220=""),"data de conclusão, ","")&amp;IF(AND($K220="Concluído",$R220=""),"link, ","")&amp;IF(AND($K220="Concluído",$L220=""),"quem liberou, ",""))=0,"OK","Falta "&amp;LEFT(IF($J220="","título, ","")&amp;IF($C220="","responsável, ","")&amp;IF($D220="","tipo, ","")&amp;IF($I220="","canal, ","")&amp;IF($H220="","município, ","")&amp;IF(AND($U220="Sim",$E220=""),"empresa, ","")&amp;IF(AND($U220="Sim",$F220=""),"editor, ","")&amp;IF(AND($K220="Concluído",$N220=""),"data de conclusão, ","")&amp;IF(AND($K220="Concluído",$R220=""),"link, ","")&amp;IF(AND($K220="Concluído",$L220=""),"quem liberou, ",""),LEN(IF($J220="","título, ","")&amp;IF($C220="","responsável, ","")&amp;IF($D220="","tipo, ","")&amp;IF($I220="","canal, ","")&amp;IF($H220="","município, ","")&amp;IF(AND($U220="Sim",$E220=""),"empresa, ","")&amp;IF(AND($U220="Sim",$F220=""),"editor, ","")&amp;IF(AND($K220="Concluído",$N220=""),"data de conclusão, ","")&amp;IF(AND($K220="Concluído",$R220=""),"link, ","")&amp;IF(AND($K220="Concluído",$L220=""),"quem liberou, ",""))-2)))</f>
        <v/>
      </c>
      <c r="R220" s="38"/>
      <c r="S220" s="38"/>
      <c r="T220" s="38"/>
      <c r="U220" s="40" t="str">
        <f aca="false">IF($A220="","",IFERROR(INDEX(Listas!$E$5:$E$64,MATCH($D220,Listas!$C$5:$C$64,0)),"Não"))</f>
        <v/>
      </c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9" t="str">
        <f aca="false">IF(OR($A221="",$D221=""),"",$A221+IFERROR(INDEX(Listas!$D$5:$D$64,MATCH($D221,Listas!$C$5:$C$64,0)),3))</f>
        <v/>
      </c>
      <c r="N221" s="37"/>
      <c r="O221" s="40" t="str">
        <f aca="false">IF($A221="","",IF($K221="Concluído","Sim","Não"))</f>
        <v/>
      </c>
      <c r="P221" s="40" t="str">
        <f aca="true">IF($A221="","",IF($K221="Stand-by","Stand-by",IF($K221="Concluído","Concluída",IF(AND($M221&lt;&gt;"",$M221&lt;TODAY()),"Atrasada","Em dia"))))</f>
        <v/>
      </c>
      <c r="Q221" s="40" t="str">
        <f aca="false">IF($A221="","",IF(LEN(IF($J221="","título, ","")&amp;IF($C221="","responsável, ","")&amp;IF($D221="","tipo, ","")&amp;IF($I221="","canal, ","")&amp;IF($H221="","município, ","")&amp;IF(AND($U221="Sim",$E221=""),"empresa, ","")&amp;IF(AND($U221="Sim",$F221=""),"editor, ","")&amp;IF(AND($K221="Concluído",$N221=""),"data de conclusão, ","")&amp;IF(AND($K221="Concluído",$R221=""),"link, ","")&amp;IF(AND($K221="Concluído",$L221=""),"quem liberou, ",""))=0,"OK","Falta "&amp;LEFT(IF($J221="","título, ","")&amp;IF($C221="","responsável, ","")&amp;IF($D221="","tipo, ","")&amp;IF($I221="","canal, ","")&amp;IF($H221="","município, ","")&amp;IF(AND($U221="Sim",$E221=""),"empresa, ","")&amp;IF(AND($U221="Sim",$F221=""),"editor, ","")&amp;IF(AND($K221="Concluído",$N221=""),"data de conclusão, ","")&amp;IF(AND($K221="Concluído",$R221=""),"link, ","")&amp;IF(AND($K221="Concluído",$L221=""),"quem liberou, ",""),LEN(IF($J221="","título, ","")&amp;IF($C221="","responsável, ","")&amp;IF($D221="","tipo, ","")&amp;IF($I221="","canal, ","")&amp;IF($H221="","município, ","")&amp;IF(AND($U221="Sim",$E221=""),"empresa, ","")&amp;IF(AND($U221="Sim",$F221=""),"editor, ","")&amp;IF(AND($K221="Concluído",$N221=""),"data de conclusão, ","")&amp;IF(AND($K221="Concluído",$R221=""),"link, ","")&amp;IF(AND($K221="Concluído",$L221=""),"quem liberou, ",""))-2)))</f>
        <v/>
      </c>
      <c r="R221" s="38"/>
      <c r="S221" s="38"/>
      <c r="T221" s="38"/>
      <c r="U221" s="40" t="str">
        <f aca="false">IF($A221="","",IFERROR(INDEX(Listas!$E$5:$E$64,MATCH($D221,Listas!$C$5:$C$64,0)),"Não"))</f>
        <v/>
      </c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9" t="str">
        <f aca="false">IF(OR($A222="",$D222=""),"",$A222+IFERROR(INDEX(Listas!$D$5:$D$64,MATCH($D222,Listas!$C$5:$C$64,0)),3))</f>
        <v/>
      </c>
      <c r="N222" s="37"/>
      <c r="O222" s="40" t="str">
        <f aca="false">IF($A222="","",IF($K222="Concluído","Sim","Não"))</f>
        <v/>
      </c>
      <c r="P222" s="40" t="str">
        <f aca="true">IF($A222="","",IF($K222="Stand-by","Stand-by",IF($K222="Concluído","Concluída",IF(AND($M222&lt;&gt;"",$M222&lt;TODAY()),"Atrasada","Em dia"))))</f>
        <v/>
      </c>
      <c r="Q222" s="40" t="str">
        <f aca="false">IF($A222="","",IF(LEN(IF($J222="","título, ","")&amp;IF($C222="","responsável, ","")&amp;IF($D222="","tipo, ","")&amp;IF($I222="","canal, ","")&amp;IF($H222="","município, ","")&amp;IF(AND($U222="Sim",$E222=""),"empresa, ","")&amp;IF(AND($U222="Sim",$F222=""),"editor, ","")&amp;IF(AND($K222="Concluído",$N222=""),"data de conclusão, ","")&amp;IF(AND($K222="Concluído",$R222=""),"link, ","")&amp;IF(AND($K222="Concluído",$L222=""),"quem liberou, ",""))=0,"OK","Falta "&amp;LEFT(IF($J222="","título, ","")&amp;IF($C222="","responsável, ","")&amp;IF($D222="","tipo, ","")&amp;IF($I222="","canal, ","")&amp;IF($H222="","município, ","")&amp;IF(AND($U222="Sim",$E222=""),"empresa, ","")&amp;IF(AND($U222="Sim",$F222=""),"editor, ","")&amp;IF(AND($K222="Concluído",$N222=""),"data de conclusão, ","")&amp;IF(AND($K222="Concluído",$R222=""),"link, ","")&amp;IF(AND($K222="Concluído",$L222=""),"quem liberou, ",""),LEN(IF($J222="","título, ","")&amp;IF($C222="","responsável, ","")&amp;IF($D222="","tipo, ","")&amp;IF($I222="","canal, ","")&amp;IF($H222="","município, ","")&amp;IF(AND($U222="Sim",$E222=""),"empresa, ","")&amp;IF(AND($U222="Sim",$F222=""),"editor, ","")&amp;IF(AND($K222="Concluído",$N222=""),"data de conclusão, ","")&amp;IF(AND($K222="Concluído",$R222=""),"link, ","")&amp;IF(AND($K222="Concluído",$L222=""),"quem liberou, ",""))-2)))</f>
        <v/>
      </c>
      <c r="R222" s="38"/>
      <c r="S222" s="38"/>
      <c r="T222" s="38"/>
      <c r="U222" s="40" t="str">
        <f aca="false">IF($A222="","",IFERROR(INDEX(Listas!$E$5:$E$64,MATCH($D222,Listas!$C$5:$C$64,0)),"Não"))</f>
        <v/>
      </c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9" t="str">
        <f aca="false">IF(OR($A223="",$D223=""),"",$A223+IFERROR(INDEX(Listas!$D$5:$D$64,MATCH($D223,Listas!$C$5:$C$64,0)),3))</f>
        <v/>
      </c>
      <c r="N223" s="37"/>
      <c r="O223" s="40" t="str">
        <f aca="false">IF($A223="","",IF($K223="Concluído","Sim","Não"))</f>
        <v/>
      </c>
      <c r="P223" s="40" t="str">
        <f aca="true">IF($A223="","",IF($K223="Stand-by","Stand-by",IF($K223="Concluído","Concluída",IF(AND($M223&lt;&gt;"",$M223&lt;TODAY()),"Atrasada","Em dia"))))</f>
        <v/>
      </c>
      <c r="Q223" s="40" t="str">
        <f aca="false">IF($A223="","",IF(LEN(IF($J223="","título, ","")&amp;IF($C223="","responsável, ","")&amp;IF($D223="","tipo, ","")&amp;IF($I223="","canal, ","")&amp;IF($H223="","município, ","")&amp;IF(AND($U223="Sim",$E223=""),"empresa, ","")&amp;IF(AND($U223="Sim",$F223=""),"editor, ","")&amp;IF(AND($K223="Concluído",$N223=""),"data de conclusão, ","")&amp;IF(AND($K223="Concluído",$R223=""),"link, ","")&amp;IF(AND($K223="Concluído",$L223=""),"quem liberou, ",""))=0,"OK","Falta "&amp;LEFT(IF($J223="","título, ","")&amp;IF($C223="","responsável, ","")&amp;IF($D223="","tipo, ","")&amp;IF($I223="","canal, ","")&amp;IF($H223="","município, ","")&amp;IF(AND($U223="Sim",$E223=""),"empresa, ","")&amp;IF(AND($U223="Sim",$F223=""),"editor, ","")&amp;IF(AND($K223="Concluído",$N223=""),"data de conclusão, ","")&amp;IF(AND($K223="Concluído",$R223=""),"link, ","")&amp;IF(AND($K223="Concluído",$L223=""),"quem liberou, ",""),LEN(IF($J223="","título, ","")&amp;IF($C223="","responsável, ","")&amp;IF($D223="","tipo, ","")&amp;IF($I223="","canal, ","")&amp;IF($H223="","município, ","")&amp;IF(AND($U223="Sim",$E223=""),"empresa, ","")&amp;IF(AND($U223="Sim",$F223=""),"editor, ","")&amp;IF(AND($K223="Concluído",$N223=""),"data de conclusão, ","")&amp;IF(AND($K223="Concluído",$R223=""),"link, ","")&amp;IF(AND($K223="Concluído",$L223=""),"quem liberou, ",""))-2)))</f>
        <v/>
      </c>
      <c r="R223" s="38"/>
      <c r="S223" s="38"/>
      <c r="T223" s="38"/>
      <c r="U223" s="40" t="str">
        <f aca="false">IF($A223="","",IFERROR(INDEX(Listas!$E$5:$E$64,MATCH($D223,Listas!$C$5:$C$64,0)),"Não"))</f>
        <v/>
      </c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9" t="str">
        <f aca="false">IF(OR($A224="",$D224=""),"",$A224+IFERROR(INDEX(Listas!$D$5:$D$64,MATCH($D224,Listas!$C$5:$C$64,0)),3))</f>
        <v/>
      </c>
      <c r="N224" s="37"/>
      <c r="O224" s="40" t="str">
        <f aca="false">IF($A224="","",IF($K224="Concluído","Sim","Não"))</f>
        <v/>
      </c>
      <c r="P224" s="40" t="str">
        <f aca="true">IF($A224="","",IF($K224="Stand-by","Stand-by",IF($K224="Concluído","Concluída",IF(AND($M224&lt;&gt;"",$M224&lt;TODAY()),"Atrasada","Em dia"))))</f>
        <v/>
      </c>
      <c r="Q224" s="40" t="str">
        <f aca="false">IF($A224="","",IF(LEN(IF($J224="","título, ","")&amp;IF($C224="","responsável, ","")&amp;IF($D224="","tipo, ","")&amp;IF($I224="","canal, ","")&amp;IF($H224="","município, ","")&amp;IF(AND($U224="Sim",$E224=""),"empresa, ","")&amp;IF(AND($U224="Sim",$F224=""),"editor, ","")&amp;IF(AND($K224="Concluído",$N224=""),"data de conclusão, ","")&amp;IF(AND($K224="Concluído",$R224=""),"link, ","")&amp;IF(AND($K224="Concluído",$L224=""),"quem liberou, ",""))=0,"OK","Falta "&amp;LEFT(IF($J224="","título, ","")&amp;IF($C224="","responsável, ","")&amp;IF($D224="","tipo, ","")&amp;IF($I224="","canal, ","")&amp;IF($H224="","município, ","")&amp;IF(AND($U224="Sim",$E224=""),"empresa, ","")&amp;IF(AND($U224="Sim",$F224=""),"editor, ","")&amp;IF(AND($K224="Concluído",$N224=""),"data de conclusão, ","")&amp;IF(AND($K224="Concluído",$R224=""),"link, ","")&amp;IF(AND($K224="Concluído",$L224=""),"quem liberou, ",""),LEN(IF($J224="","título, ","")&amp;IF($C224="","responsável, ","")&amp;IF($D224="","tipo, ","")&amp;IF($I224="","canal, ","")&amp;IF($H224="","município, ","")&amp;IF(AND($U224="Sim",$E224=""),"empresa, ","")&amp;IF(AND($U224="Sim",$F224=""),"editor, ","")&amp;IF(AND($K224="Concluído",$N224=""),"data de conclusão, ","")&amp;IF(AND($K224="Concluído",$R224=""),"link, ","")&amp;IF(AND($K224="Concluído",$L224=""),"quem liberou, ",""))-2)))</f>
        <v/>
      </c>
      <c r="R224" s="38"/>
      <c r="S224" s="38"/>
      <c r="T224" s="38"/>
      <c r="U224" s="40" t="str">
        <f aca="false">IF($A224="","",IFERROR(INDEX(Listas!$E$5:$E$64,MATCH($D224,Listas!$C$5:$C$64,0)),"Não"))</f>
        <v/>
      </c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9" t="str">
        <f aca="false">IF(OR($A225="",$D225=""),"",$A225+IFERROR(INDEX(Listas!$D$5:$D$64,MATCH($D225,Listas!$C$5:$C$64,0)),3))</f>
        <v/>
      </c>
      <c r="N225" s="37"/>
      <c r="O225" s="40" t="str">
        <f aca="false">IF($A225="","",IF($K225="Concluído","Sim","Não"))</f>
        <v/>
      </c>
      <c r="P225" s="40" t="str">
        <f aca="true">IF($A225="","",IF($K225="Stand-by","Stand-by",IF($K225="Concluído","Concluída",IF(AND($M225&lt;&gt;"",$M225&lt;TODAY()),"Atrasada","Em dia"))))</f>
        <v/>
      </c>
      <c r="Q225" s="40" t="str">
        <f aca="false">IF($A225="","",IF(LEN(IF($J225="","título, ","")&amp;IF($C225="","responsável, ","")&amp;IF($D225="","tipo, ","")&amp;IF($I225="","canal, ","")&amp;IF($H225="","município, ","")&amp;IF(AND($U225="Sim",$E225=""),"empresa, ","")&amp;IF(AND($U225="Sim",$F225=""),"editor, ","")&amp;IF(AND($K225="Concluído",$N225=""),"data de conclusão, ","")&amp;IF(AND($K225="Concluído",$R225=""),"link, ","")&amp;IF(AND($K225="Concluído",$L225=""),"quem liberou, ",""))=0,"OK","Falta "&amp;LEFT(IF($J225="","título, ","")&amp;IF($C225="","responsável, ","")&amp;IF($D225="","tipo, ","")&amp;IF($I225="","canal, ","")&amp;IF($H225="","município, ","")&amp;IF(AND($U225="Sim",$E225=""),"empresa, ","")&amp;IF(AND($U225="Sim",$F225=""),"editor, ","")&amp;IF(AND($K225="Concluído",$N225=""),"data de conclusão, ","")&amp;IF(AND($K225="Concluído",$R225=""),"link, ","")&amp;IF(AND($K225="Concluído",$L225=""),"quem liberou, ",""),LEN(IF($J225="","título, ","")&amp;IF($C225="","responsável, ","")&amp;IF($D225="","tipo, ","")&amp;IF($I225="","canal, ","")&amp;IF($H225="","município, ","")&amp;IF(AND($U225="Sim",$E225=""),"empresa, ","")&amp;IF(AND($U225="Sim",$F225=""),"editor, ","")&amp;IF(AND($K225="Concluído",$N225=""),"data de conclusão, ","")&amp;IF(AND($K225="Concluído",$R225=""),"link, ","")&amp;IF(AND($K225="Concluído",$L225=""),"quem liberou, ",""))-2)))</f>
        <v/>
      </c>
      <c r="R225" s="38"/>
      <c r="S225" s="38"/>
      <c r="T225" s="38"/>
      <c r="U225" s="40" t="str">
        <f aca="false">IF($A225="","",IFERROR(INDEX(Listas!$E$5:$E$64,MATCH($D225,Listas!$C$5:$C$64,0)),"Não"))</f>
        <v/>
      </c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9" t="str">
        <f aca="false">IF(OR($A226="",$D226=""),"",$A226+IFERROR(INDEX(Listas!$D$5:$D$64,MATCH($D226,Listas!$C$5:$C$64,0)),3))</f>
        <v/>
      </c>
      <c r="N226" s="37"/>
      <c r="O226" s="40" t="str">
        <f aca="false">IF($A226="","",IF($K226="Concluído","Sim","Não"))</f>
        <v/>
      </c>
      <c r="P226" s="40" t="str">
        <f aca="true">IF($A226="","",IF($K226="Stand-by","Stand-by",IF($K226="Concluído","Concluída",IF(AND($M226&lt;&gt;"",$M226&lt;TODAY()),"Atrasada","Em dia"))))</f>
        <v/>
      </c>
      <c r="Q226" s="40" t="str">
        <f aca="false">IF($A226="","",IF(LEN(IF($J226="","título, ","")&amp;IF($C226="","responsável, ","")&amp;IF($D226="","tipo, ","")&amp;IF($I226="","canal, ","")&amp;IF($H226="","município, ","")&amp;IF(AND($U226="Sim",$E226=""),"empresa, ","")&amp;IF(AND($U226="Sim",$F226=""),"editor, ","")&amp;IF(AND($K226="Concluído",$N226=""),"data de conclusão, ","")&amp;IF(AND($K226="Concluído",$R226=""),"link, ","")&amp;IF(AND($K226="Concluído",$L226=""),"quem liberou, ",""))=0,"OK","Falta "&amp;LEFT(IF($J226="","título, ","")&amp;IF($C226="","responsável, ","")&amp;IF($D226="","tipo, ","")&amp;IF($I226="","canal, ","")&amp;IF($H226="","município, ","")&amp;IF(AND($U226="Sim",$E226=""),"empresa, ","")&amp;IF(AND($U226="Sim",$F226=""),"editor, ","")&amp;IF(AND($K226="Concluído",$N226=""),"data de conclusão, ","")&amp;IF(AND($K226="Concluído",$R226=""),"link, ","")&amp;IF(AND($K226="Concluído",$L226=""),"quem liberou, ",""),LEN(IF($J226="","título, ","")&amp;IF($C226="","responsável, ","")&amp;IF($D226="","tipo, ","")&amp;IF($I226="","canal, ","")&amp;IF($H226="","município, ","")&amp;IF(AND($U226="Sim",$E226=""),"empresa, ","")&amp;IF(AND($U226="Sim",$F226=""),"editor, ","")&amp;IF(AND($K226="Concluído",$N226=""),"data de conclusão, ","")&amp;IF(AND($K226="Concluído",$R226=""),"link, ","")&amp;IF(AND($K226="Concluído",$L226=""),"quem liberou, ",""))-2)))</f>
        <v/>
      </c>
      <c r="R226" s="38"/>
      <c r="S226" s="38"/>
      <c r="T226" s="38"/>
      <c r="U226" s="40" t="str">
        <f aca="false">IF($A226="","",IFERROR(INDEX(Listas!$E$5:$E$64,MATCH($D226,Listas!$C$5:$C$64,0)),"Não"))</f>
        <v/>
      </c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9" t="str">
        <f aca="false">IF(OR($A227="",$D227=""),"",$A227+IFERROR(INDEX(Listas!$D$5:$D$64,MATCH($D227,Listas!$C$5:$C$64,0)),3))</f>
        <v/>
      </c>
      <c r="N227" s="37"/>
      <c r="O227" s="40" t="str">
        <f aca="false">IF($A227="","",IF($K227="Concluído","Sim","Não"))</f>
        <v/>
      </c>
      <c r="P227" s="40" t="str">
        <f aca="true">IF($A227="","",IF($K227="Stand-by","Stand-by",IF($K227="Concluído","Concluída",IF(AND($M227&lt;&gt;"",$M227&lt;TODAY()),"Atrasada","Em dia"))))</f>
        <v/>
      </c>
      <c r="Q227" s="40" t="str">
        <f aca="false">IF($A227="","",IF(LEN(IF($J227="","título, ","")&amp;IF($C227="","responsável, ","")&amp;IF($D227="","tipo, ","")&amp;IF($I227="","canal, ","")&amp;IF($H227="","município, ","")&amp;IF(AND($U227="Sim",$E227=""),"empresa, ","")&amp;IF(AND($U227="Sim",$F227=""),"editor, ","")&amp;IF(AND($K227="Concluído",$N227=""),"data de conclusão, ","")&amp;IF(AND($K227="Concluído",$R227=""),"link, ","")&amp;IF(AND($K227="Concluído",$L227=""),"quem liberou, ",""))=0,"OK","Falta "&amp;LEFT(IF($J227="","título, ","")&amp;IF($C227="","responsável, ","")&amp;IF($D227="","tipo, ","")&amp;IF($I227="","canal, ","")&amp;IF($H227="","município, ","")&amp;IF(AND($U227="Sim",$E227=""),"empresa, ","")&amp;IF(AND($U227="Sim",$F227=""),"editor, ","")&amp;IF(AND($K227="Concluído",$N227=""),"data de conclusão, ","")&amp;IF(AND($K227="Concluído",$R227=""),"link, ","")&amp;IF(AND($K227="Concluído",$L227=""),"quem liberou, ",""),LEN(IF($J227="","título, ","")&amp;IF($C227="","responsável, ","")&amp;IF($D227="","tipo, ","")&amp;IF($I227="","canal, ","")&amp;IF($H227="","município, ","")&amp;IF(AND($U227="Sim",$E227=""),"empresa, ","")&amp;IF(AND($U227="Sim",$F227=""),"editor, ","")&amp;IF(AND($K227="Concluído",$N227=""),"data de conclusão, ","")&amp;IF(AND($K227="Concluído",$R227=""),"link, ","")&amp;IF(AND($K227="Concluído",$L227=""),"quem liberou, ",""))-2)))</f>
        <v/>
      </c>
      <c r="R227" s="38"/>
      <c r="S227" s="38"/>
      <c r="T227" s="38"/>
      <c r="U227" s="40" t="str">
        <f aca="false">IF($A227="","",IFERROR(INDEX(Listas!$E$5:$E$64,MATCH($D227,Listas!$C$5:$C$64,0)),"Não"))</f>
        <v/>
      </c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9" t="str">
        <f aca="false">IF(OR($A228="",$D228=""),"",$A228+IFERROR(INDEX(Listas!$D$5:$D$64,MATCH($D228,Listas!$C$5:$C$64,0)),3))</f>
        <v/>
      </c>
      <c r="N228" s="37"/>
      <c r="O228" s="40" t="str">
        <f aca="false">IF($A228="","",IF($K228="Concluído","Sim","Não"))</f>
        <v/>
      </c>
      <c r="P228" s="40" t="str">
        <f aca="true">IF($A228="","",IF($K228="Stand-by","Stand-by",IF($K228="Concluído","Concluída",IF(AND($M228&lt;&gt;"",$M228&lt;TODAY()),"Atrasada","Em dia"))))</f>
        <v/>
      </c>
      <c r="Q228" s="40" t="str">
        <f aca="false">IF($A228="","",IF(LEN(IF($J228="","título, ","")&amp;IF($C228="","responsável, ","")&amp;IF($D228="","tipo, ","")&amp;IF($I228="","canal, ","")&amp;IF($H228="","município, ","")&amp;IF(AND($U228="Sim",$E228=""),"empresa, ","")&amp;IF(AND($U228="Sim",$F228=""),"editor, ","")&amp;IF(AND($K228="Concluído",$N228=""),"data de conclusão, ","")&amp;IF(AND($K228="Concluído",$R228=""),"link, ","")&amp;IF(AND($K228="Concluído",$L228=""),"quem liberou, ",""))=0,"OK","Falta "&amp;LEFT(IF($J228="","título, ","")&amp;IF($C228="","responsável, ","")&amp;IF($D228="","tipo, ","")&amp;IF($I228="","canal, ","")&amp;IF($H228="","município, ","")&amp;IF(AND($U228="Sim",$E228=""),"empresa, ","")&amp;IF(AND($U228="Sim",$F228=""),"editor, ","")&amp;IF(AND($K228="Concluído",$N228=""),"data de conclusão, ","")&amp;IF(AND($K228="Concluído",$R228=""),"link, ","")&amp;IF(AND($K228="Concluído",$L228=""),"quem liberou, ",""),LEN(IF($J228="","título, ","")&amp;IF($C228="","responsável, ","")&amp;IF($D228="","tipo, ","")&amp;IF($I228="","canal, ","")&amp;IF($H228="","município, ","")&amp;IF(AND($U228="Sim",$E228=""),"empresa, ","")&amp;IF(AND($U228="Sim",$F228=""),"editor, ","")&amp;IF(AND($K228="Concluído",$N228=""),"data de conclusão, ","")&amp;IF(AND($K228="Concluído",$R228=""),"link, ","")&amp;IF(AND($K228="Concluído",$L228=""),"quem liberou, ",""))-2)))</f>
        <v/>
      </c>
      <c r="R228" s="38"/>
      <c r="S228" s="38"/>
      <c r="T228" s="38"/>
      <c r="U228" s="40" t="str">
        <f aca="false">IF($A228="","",IFERROR(INDEX(Listas!$E$5:$E$64,MATCH($D228,Listas!$C$5:$C$64,0)),"Não"))</f>
        <v/>
      </c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9" t="str">
        <f aca="false">IF(OR($A229="",$D229=""),"",$A229+IFERROR(INDEX(Listas!$D$5:$D$64,MATCH($D229,Listas!$C$5:$C$64,0)),3))</f>
        <v/>
      </c>
      <c r="N229" s="37"/>
      <c r="O229" s="40" t="str">
        <f aca="false">IF($A229="","",IF($K229="Concluído","Sim","Não"))</f>
        <v/>
      </c>
      <c r="P229" s="40" t="str">
        <f aca="true">IF($A229="","",IF($K229="Stand-by","Stand-by",IF($K229="Concluído","Concluída",IF(AND($M229&lt;&gt;"",$M229&lt;TODAY()),"Atrasada","Em dia"))))</f>
        <v/>
      </c>
      <c r="Q229" s="40" t="str">
        <f aca="false">IF($A229="","",IF(LEN(IF($J229="","título, ","")&amp;IF($C229="","responsável, ","")&amp;IF($D229="","tipo, ","")&amp;IF($I229="","canal, ","")&amp;IF($H229="","município, ","")&amp;IF(AND($U229="Sim",$E229=""),"empresa, ","")&amp;IF(AND($U229="Sim",$F229=""),"editor, ","")&amp;IF(AND($K229="Concluído",$N229=""),"data de conclusão, ","")&amp;IF(AND($K229="Concluído",$R229=""),"link, ","")&amp;IF(AND($K229="Concluído",$L229=""),"quem liberou, ",""))=0,"OK","Falta "&amp;LEFT(IF($J229="","título, ","")&amp;IF($C229="","responsável, ","")&amp;IF($D229="","tipo, ","")&amp;IF($I229="","canal, ","")&amp;IF($H229="","município, ","")&amp;IF(AND($U229="Sim",$E229=""),"empresa, ","")&amp;IF(AND($U229="Sim",$F229=""),"editor, ","")&amp;IF(AND($K229="Concluído",$N229=""),"data de conclusão, ","")&amp;IF(AND($K229="Concluído",$R229=""),"link, ","")&amp;IF(AND($K229="Concluído",$L229=""),"quem liberou, ",""),LEN(IF($J229="","título, ","")&amp;IF($C229="","responsável, ","")&amp;IF($D229="","tipo, ","")&amp;IF($I229="","canal, ","")&amp;IF($H229="","município, ","")&amp;IF(AND($U229="Sim",$E229=""),"empresa, ","")&amp;IF(AND($U229="Sim",$F229=""),"editor, ","")&amp;IF(AND($K229="Concluído",$N229=""),"data de conclusão, ","")&amp;IF(AND($K229="Concluído",$R229=""),"link, ","")&amp;IF(AND($K229="Concluído",$L229=""),"quem liberou, ",""))-2)))</f>
        <v/>
      </c>
      <c r="R229" s="38"/>
      <c r="S229" s="38"/>
      <c r="T229" s="38"/>
      <c r="U229" s="40" t="str">
        <f aca="false">IF($A229="","",IFERROR(INDEX(Listas!$E$5:$E$64,MATCH($D229,Listas!$C$5:$C$64,0)),"Não"))</f>
        <v/>
      </c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9" t="str">
        <f aca="false">IF(OR($A230="",$D230=""),"",$A230+IFERROR(INDEX(Listas!$D$5:$D$64,MATCH($D230,Listas!$C$5:$C$64,0)),3))</f>
        <v/>
      </c>
      <c r="N230" s="37"/>
      <c r="O230" s="40" t="str">
        <f aca="false">IF($A230="","",IF($K230="Concluído","Sim","Não"))</f>
        <v/>
      </c>
      <c r="P230" s="40" t="str">
        <f aca="true">IF($A230="","",IF($K230="Stand-by","Stand-by",IF($K230="Concluído","Concluída",IF(AND($M230&lt;&gt;"",$M230&lt;TODAY()),"Atrasada","Em dia"))))</f>
        <v/>
      </c>
      <c r="Q230" s="40" t="str">
        <f aca="false">IF($A230="","",IF(LEN(IF($J230="","título, ","")&amp;IF($C230="","responsável, ","")&amp;IF($D230="","tipo, ","")&amp;IF($I230="","canal, ","")&amp;IF($H230="","município, ","")&amp;IF(AND($U230="Sim",$E230=""),"empresa, ","")&amp;IF(AND($U230="Sim",$F230=""),"editor, ","")&amp;IF(AND($K230="Concluído",$N230=""),"data de conclusão, ","")&amp;IF(AND($K230="Concluído",$R230=""),"link, ","")&amp;IF(AND($K230="Concluído",$L230=""),"quem liberou, ",""))=0,"OK","Falta "&amp;LEFT(IF($J230="","título, ","")&amp;IF($C230="","responsável, ","")&amp;IF($D230="","tipo, ","")&amp;IF($I230="","canal, ","")&amp;IF($H230="","município, ","")&amp;IF(AND($U230="Sim",$E230=""),"empresa, ","")&amp;IF(AND($U230="Sim",$F230=""),"editor, ","")&amp;IF(AND($K230="Concluído",$N230=""),"data de conclusão, ","")&amp;IF(AND($K230="Concluído",$R230=""),"link, ","")&amp;IF(AND($K230="Concluído",$L230=""),"quem liberou, ",""),LEN(IF($J230="","título, ","")&amp;IF($C230="","responsável, ","")&amp;IF($D230="","tipo, ","")&amp;IF($I230="","canal, ","")&amp;IF($H230="","município, ","")&amp;IF(AND($U230="Sim",$E230=""),"empresa, ","")&amp;IF(AND($U230="Sim",$F230=""),"editor, ","")&amp;IF(AND($K230="Concluído",$N230=""),"data de conclusão, ","")&amp;IF(AND($K230="Concluído",$R230=""),"link, ","")&amp;IF(AND($K230="Concluído",$L230=""),"quem liberou, ",""))-2)))</f>
        <v/>
      </c>
      <c r="R230" s="38"/>
      <c r="S230" s="38"/>
      <c r="T230" s="38"/>
      <c r="U230" s="40" t="str">
        <f aca="false">IF($A230="","",IFERROR(INDEX(Listas!$E$5:$E$64,MATCH($D230,Listas!$C$5:$C$64,0)),"Não"))</f>
        <v/>
      </c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9" t="str">
        <f aca="false">IF(OR($A231="",$D231=""),"",$A231+IFERROR(INDEX(Listas!$D$5:$D$64,MATCH($D231,Listas!$C$5:$C$64,0)),3))</f>
        <v/>
      </c>
      <c r="N231" s="37"/>
      <c r="O231" s="40" t="str">
        <f aca="false">IF($A231="","",IF($K231="Concluído","Sim","Não"))</f>
        <v/>
      </c>
      <c r="P231" s="40" t="str">
        <f aca="true">IF($A231="","",IF($K231="Stand-by","Stand-by",IF($K231="Concluído","Concluída",IF(AND($M231&lt;&gt;"",$M231&lt;TODAY()),"Atrasada","Em dia"))))</f>
        <v/>
      </c>
      <c r="Q231" s="40" t="str">
        <f aca="false">IF($A231="","",IF(LEN(IF($J231="","título, ","")&amp;IF($C231="","responsável, ","")&amp;IF($D231="","tipo, ","")&amp;IF($I231="","canal, ","")&amp;IF($H231="","município, ","")&amp;IF(AND($U231="Sim",$E231=""),"empresa, ","")&amp;IF(AND($U231="Sim",$F231=""),"editor, ","")&amp;IF(AND($K231="Concluído",$N231=""),"data de conclusão, ","")&amp;IF(AND($K231="Concluído",$R231=""),"link, ","")&amp;IF(AND($K231="Concluído",$L231=""),"quem liberou, ",""))=0,"OK","Falta "&amp;LEFT(IF($J231="","título, ","")&amp;IF($C231="","responsável, ","")&amp;IF($D231="","tipo, ","")&amp;IF($I231="","canal, ","")&amp;IF($H231="","município, ","")&amp;IF(AND($U231="Sim",$E231=""),"empresa, ","")&amp;IF(AND($U231="Sim",$F231=""),"editor, ","")&amp;IF(AND($K231="Concluído",$N231=""),"data de conclusão, ","")&amp;IF(AND($K231="Concluído",$R231=""),"link, ","")&amp;IF(AND($K231="Concluído",$L231=""),"quem liberou, ",""),LEN(IF($J231="","título, ","")&amp;IF($C231="","responsável, ","")&amp;IF($D231="","tipo, ","")&amp;IF($I231="","canal, ","")&amp;IF($H231="","município, ","")&amp;IF(AND($U231="Sim",$E231=""),"empresa, ","")&amp;IF(AND($U231="Sim",$F231=""),"editor, ","")&amp;IF(AND($K231="Concluído",$N231=""),"data de conclusão, ","")&amp;IF(AND($K231="Concluído",$R231=""),"link, ","")&amp;IF(AND($K231="Concluído",$L231=""),"quem liberou, ",""))-2)))</f>
        <v/>
      </c>
      <c r="R231" s="38"/>
      <c r="S231" s="38"/>
      <c r="T231" s="38"/>
      <c r="U231" s="40" t="str">
        <f aca="false">IF($A231="","",IFERROR(INDEX(Listas!$E$5:$E$64,MATCH($D231,Listas!$C$5:$C$64,0)),"Não"))</f>
        <v/>
      </c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9" t="str">
        <f aca="false">IF(OR($A232="",$D232=""),"",$A232+IFERROR(INDEX(Listas!$D$5:$D$64,MATCH($D232,Listas!$C$5:$C$64,0)),3))</f>
        <v/>
      </c>
      <c r="N232" s="37"/>
      <c r="O232" s="40" t="str">
        <f aca="false">IF($A232="","",IF($K232="Concluído","Sim","Não"))</f>
        <v/>
      </c>
      <c r="P232" s="40" t="str">
        <f aca="true">IF($A232="","",IF($K232="Stand-by","Stand-by",IF($K232="Concluído","Concluída",IF(AND($M232&lt;&gt;"",$M232&lt;TODAY()),"Atrasada","Em dia"))))</f>
        <v/>
      </c>
      <c r="Q232" s="40" t="str">
        <f aca="false">IF($A232="","",IF(LEN(IF($J232="","título, ","")&amp;IF($C232="","responsável, ","")&amp;IF($D232="","tipo, ","")&amp;IF($I232="","canal, ","")&amp;IF($H232="","município, ","")&amp;IF(AND($U232="Sim",$E232=""),"empresa, ","")&amp;IF(AND($U232="Sim",$F232=""),"editor, ","")&amp;IF(AND($K232="Concluído",$N232=""),"data de conclusão, ","")&amp;IF(AND($K232="Concluído",$R232=""),"link, ","")&amp;IF(AND($K232="Concluído",$L232=""),"quem liberou, ",""))=0,"OK","Falta "&amp;LEFT(IF($J232="","título, ","")&amp;IF($C232="","responsável, ","")&amp;IF($D232="","tipo, ","")&amp;IF($I232="","canal, ","")&amp;IF($H232="","município, ","")&amp;IF(AND($U232="Sim",$E232=""),"empresa, ","")&amp;IF(AND($U232="Sim",$F232=""),"editor, ","")&amp;IF(AND($K232="Concluído",$N232=""),"data de conclusão, ","")&amp;IF(AND($K232="Concluído",$R232=""),"link, ","")&amp;IF(AND($K232="Concluído",$L232=""),"quem liberou, ",""),LEN(IF($J232="","título, ","")&amp;IF($C232="","responsável, ","")&amp;IF($D232="","tipo, ","")&amp;IF($I232="","canal, ","")&amp;IF($H232="","município, ","")&amp;IF(AND($U232="Sim",$E232=""),"empresa, ","")&amp;IF(AND($U232="Sim",$F232=""),"editor, ","")&amp;IF(AND($K232="Concluído",$N232=""),"data de conclusão, ","")&amp;IF(AND($K232="Concluído",$R232=""),"link, ","")&amp;IF(AND($K232="Concluído",$L232=""),"quem liberou, ",""))-2)))</f>
        <v/>
      </c>
      <c r="R232" s="38"/>
      <c r="S232" s="38"/>
      <c r="T232" s="38"/>
      <c r="U232" s="40" t="str">
        <f aca="false">IF($A232="","",IFERROR(INDEX(Listas!$E$5:$E$64,MATCH($D232,Listas!$C$5:$C$64,0)),"Não"))</f>
        <v/>
      </c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9" t="str">
        <f aca="false">IF(OR($A233="",$D233=""),"",$A233+IFERROR(INDEX(Listas!$D$5:$D$64,MATCH($D233,Listas!$C$5:$C$64,0)),3))</f>
        <v/>
      </c>
      <c r="N233" s="37"/>
      <c r="O233" s="40" t="str">
        <f aca="false">IF($A233="","",IF($K233="Concluído","Sim","Não"))</f>
        <v/>
      </c>
      <c r="P233" s="40" t="str">
        <f aca="true">IF($A233="","",IF($K233="Stand-by","Stand-by",IF($K233="Concluído","Concluída",IF(AND($M233&lt;&gt;"",$M233&lt;TODAY()),"Atrasada","Em dia"))))</f>
        <v/>
      </c>
      <c r="Q233" s="40" t="str">
        <f aca="false">IF($A233="","",IF(LEN(IF($J233="","título, ","")&amp;IF($C233="","responsável, ","")&amp;IF($D233="","tipo, ","")&amp;IF($I233="","canal, ","")&amp;IF($H233="","município, ","")&amp;IF(AND($U233="Sim",$E233=""),"empresa, ","")&amp;IF(AND($U233="Sim",$F233=""),"editor, ","")&amp;IF(AND($K233="Concluído",$N233=""),"data de conclusão, ","")&amp;IF(AND($K233="Concluído",$R233=""),"link, ","")&amp;IF(AND($K233="Concluído",$L233=""),"quem liberou, ",""))=0,"OK","Falta "&amp;LEFT(IF($J233="","título, ","")&amp;IF($C233="","responsável, ","")&amp;IF($D233="","tipo, ","")&amp;IF($I233="","canal, ","")&amp;IF($H233="","município, ","")&amp;IF(AND($U233="Sim",$E233=""),"empresa, ","")&amp;IF(AND($U233="Sim",$F233=""),"editor, ","")&amp;IF(AND($K233="Concluído",$N233=""),"data de conclusão, ","")&amp;IF(AND($K233="Concluído",$R233=""),"link, ","")&amp;IF(AND($K233="Concluído",$L233=""),"quem liberou, ",""),LEN(IF($J233="","título, ","")&amp;IF($C233="","responsável, ","")&amp;IF($D233="","tipo, ","")&amp;IF($I233="","canal, ","")&amp;IF($H233="","município, ","")&amp;IF(AND($U233="Sim",$E233=""),"empresa, ","")&amp;IF(AND($U233="Sim",$F233=""),"editor, ","")&amp;IF(AND($K233="Concluído",$N233=""),"data de conclusão, ","")&amp;IF(AND($K233="Concluído",$R233=""),"link, ","")&amp;IF(AND($K233="Concluído",$L233=""),"quem liberou, ",""))-2)))</f>
        <v/>
      </c>
      <c r="R233" s="38"/>
      <c r="S233" s="38"/>
      <c r="T233" s="38"/>
      <c r="U233" s="40" t="str">
        <f aca="false">IF($A233="","",IFERROR(INDEX(Listas!$E$5:$E$64,MATCH($D233,Listas!$C$5:$C$64,0)),"Não"))</f>
        <v/>
      </c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9" t="str">
        <f aca="false">IF(OR($A234="",$D234=""),"",$A234+IFERROR(INDEX(Listas!$D$5:$D$64,MATCH($D234,Listas!$C$5:$C$64,0)),3))</f>
        <v/>
      </c>
      <c r="N234" s="37"/>
      <c r="O234" s="40" t="str">
        <f aca="false">IF($A234="","",IF($K234="Concluído","Sim","Não"))</f>
        <v/>
      </c>
      <c r="P234" s="40" t="str">
        <f aca="true">IF($A234="","",IF($K234="Stand-by","Stand-by",IF($K234="Concluído","Concluída",IF(AND($M234&lt;&gt;"",$M234&lt;TODAY()),"Atrasada","Em dia"))))</f>
        <v/>
      </c>
      <c r="Q234" s="40" t="str">
        <f aca="false">IF($A234="","",IF(LEN(IF($J234="","título, ","")&amp;IF($C234="","responsável, ","")&amp;IF($D234="","tipo, ","")&amp;IF($I234="","canal, ","")&amp;IF($H234="","município, ","")&amp;IF(AND($U234="Sim",$E234=""),"empresa, ","")&amp;IF(AND($U234="Sim",$F234=""),"editor, ","")&amp;IF(AND($K234="Concluído",$N234=""),"data de conclusão, ","")&amp;IF(AND($K234="Concluído",$R234=""),"link, ","")&amp;IF(AND($K234="Concluído",$L234=""),"quem liberou, ",""))=0,"OK","Falta "&amp;LEFT(IF($J234="","título, ","")&amp;IF($C234="","responsável, ","")&amp;IF($D234="","tipo, ","")&amp;IF($I234="","canal, ","")&amp;IF($H234="","município, ","")&amp;IF(AND($U234="Sim",$E234=""),"empresa, ","")&amp;IF(AND($U234="Sim",$F234=""),"editor, ","")&amp;IF(AND($K234="Concluído",$N234=""),"data de conclusão, ","")&amp;IF(AND($K234="Concluído",$R234=""),"link, ","")&amp;IF(AND($K234="Concluído",$L234=""),"quem liberou, ",""),LEN(IF($J234="","título, ","")&amp;IF($C234="","responsável, ","")&amp;IF($D234="","tipo, ","")&amp;IF($I234="","canal, ","")&amp;IF($H234="","município, ","")&amp;IF(AND($U234="Sim",$E234=""),"empresa, ","")&amp;IF(AND($U234="Sim",$F234=""),"editor, ","")&amp;IF(AND($K234="Concluído",$N234=""),"data de conclusão, ","")&amp;IF(AND($K234="Concluído",$R234=""),"link, ","")&amp;IF(AND($K234="Concluído",$L234=""),"quem liberou, ",""))-2)))</f>
        <v/>
      </c>
      <c r="R234" s="38"/>
      <c r="S234" s="38"/>
      <c r="T234" s="38"/>
      <c r="U234" s="40" t="str">
        <f aca="false">IF($A234="","",IFERROR(INDEX(Listas!$E$5:$E$64,MATCH($D234,Listas!$C$5:$C$64,0)),"Não"))</f>
        <v/>
      </c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9" t="str">
        <f aca="false">IF(OR($A235="",$D235=""),"",$A235+IFERROR(INDEX(Listas!$D$5:$D$64,MATCH($D235,Listas!$C$5:$C$64,0)),3))</f>
        <v/>
      </c>
      <c r="N235" s="37"/>
      <c r="O235" s="40" t="str">
        <f aca="false">IF($A235="","",IF($K235="Concluído","Sim","Não"))</f>
        <v/>
      </c>
      <c r="P235" s="40" t="str">
        <f aca="true">IF($A235="","",IF($K235="Stand-by","Stand-by",IF($K235="Concluído","Concluída",IF(AND($M235&lt;&gt;"",$M235&lt;TODAY()),"Atrasada","Em dia"))))</f>
        <v/>
      </c>
      <c r="Q235" s="40" t="str">
        <f aca="false">IF($A235="","",IF(LEN(IF($J235="","título, ","")&amp;IF($C235="","responsável, ","")&amp;IF($D235="","tipo, ","")&amp;IF($I235="","canal, ","")&amp;IF($H235="","município, ","")&amp;IF(AND($U235="Sim",$E235=""),"empresa, ","")&amp;IF(AND($U235="Sim",$F235=""),"editor, ","")&amp;IF(AND($K235="Concluído",$N235=""),"data de conclusão, ","")&amp;IF(AND($K235="Concluído",$R235=""),"link, ","")&amp;IF(AND($K235="Concluído",$L235=""),"quem liberou, ",""))=0,"OK","Falta "&amp;LEFT(IF($J235="","título, ","")&amp;IF($C235="","responsável, ","")&amp;IF($D235="","tipo, ","")&amp;IF($I235="","canal, ","")&amp;IF($H235="","município, ","")&amp;IF(AND($U235="Sim",$E235=""),"empresa, ","")&amp;IF(AND($U235="Sim",$F235=""),"editor, ","")&amp;IF(AND($K235="Concluído",$N235=""),"data de conclusão, ","")&amp;IF(AND($K235="Concluído",$R235=""),"link, ","")&amp;IF(AND($K235="Concluído",$L235=""),"quem liberou, ",""),LEN(IF($J235="","título, ","")&amp;IF($C235="","responsável, ","")&amp;IF($D235="","tipo, ","")&amp;IF($I235="","canal, ","")&amp;IF($H235="","município, ","")&amp;IF(AND($U235="Sim",$E235=""),"empresa, ","")&amp;IF(AND($U235="Sim",$F235=""),"editor, ","")&amp;IF(AND($K235="Concluído",$N235=""),"data de conclusão, ","")&amp;IF(AND($K235="Concluído",$R235=""),"link, ","")&amp;IF(AND($K235="Concluído",$L235=""),"quem liberou, ",""))-2)))</f>
        <v/>
      </c>
      <c r="R235" s="38"/>
      <c r="S235" s="38"/>
      <c r="T235" s="38"/>
      <c r="U235" s="40" t="str">
        <f aca="false">IF($A235="","",IFERROR(INDEX(Listas!$E$5:$E$64,MATCH($D235,Listas!$C$5:$C$64,0)),"Não"))</f>
        <v/>
      </c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9" t="str">
        <f aca="false">IF(OR($A236="",$D236=""),"",$A236+IFERROR(INDEX(Listas!$D$5:$D$64,MATCH($D236,Listas!$C$5:$C$64,0)),3))</f>
        <v/>
      </c>
      <c r="N236" s="37"/>
      <c r="O236" s="40" t="str">
        <f aca="false">IF($A236="","",IF($K236="Concluído","Sim","Não"))</f>
        <v/>
      </c>
      <c r="P236" s="40" t="str">
        <f aca="true">IF($A236="","",IF($K236="Stand-by","Stand-by",IF($K236="Concluído","Concluída",IF(AND($M236&lt;&gt;"",$M236&lt;TODAY()),"Atrasada","Em dia"))))</f>
        <v/>
      </c>
      <c r="Q236" s="40" t="str">
        <f aca="false">IF($A236="","",IF(LEN(IF($J236="","título, ","")&amp;IF($C236="","responsável, ","")&amp;IF($D236="","tipo, ","")&amp;IF($I236="","canal, ","")&amp;IF($H236="","município, ","")&amp;IF(AND($U236="Sim",$E236=""),"empresa, ","")&amp;IF(AND($U236="Sim",$F236=""),"editor, ","")&amp;IF(AND($K236="Concluído",$N236=""),"data de conclusão, ","")&amp;IF(AND($K236="Concluído",$R236=""),"link, ","")&amp;IF(AND($K236="Concluído",$L236=""),"quem liberou, ",""))=0,"OK","Falta "&amp;LEFT(IF($J236="","título, ","")&amp;IF($C236="","responsável, ","")&amp;IF($D236="","tipo, ","")&amp;IF($I236="","canal, ","")&amp;IF($H236="","município, ","")&amp;IF(AND($U236="Sim",$E236=""),"empresa, ","")&amp;IF(AND($U236="Sim",$F236=""),"editor, ","")&amp;IF(AND($K236="Concluído",$N236=""),"data de conclusão, ","")&amp;IF(AND($K236="Concluído",$R236=""),"link, ","")&amp;IF(AND($K236="Concluído",$L236=""),"quem liberou, ",""),LEN(IF($J236="","título, ","")&amp;IF($C236="","responsável, ","")&amp;IF($D236="","tipo, ","")&amp;IF($I236="","canal, ","")&amp;IF($H236="","município, ","")&amp;IF(AND($U236="Sim",$E236=""),"empresa, ","")&amp;IF(AND($U236="Sim",$F236=""),"editor, ","")&amp;IF(AND($K236="Concluído",$N236=""),"data de conclusão, ","")&amp;IF(AND($K236="Concluído",$R236=""),"link, ","")&amp;IF(AND($K236="Concluído",$L236=""),"quem liberou, ",""))-2)))</f>
        <v/>
      </c>
      <c r="R236" s="38"/>
      <c r="S236" s="38"/>
      <c r="T236" s="38"/>
      <c r="U236" s="40" t="str">
        <f aca="false">IF($A236="","",IFERROR(INDEX(Listas!$E$5:$E$64,MATCH($D236,Listas!$C$5:$C$64,0)),"Não"))</f>
        <v/>
      </c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9" t="str">
        <f aca="false">IF(OR($A237="",$D237=""),"",$A237+IFERROR(INDEX(Listas!$D$5:$D$64,MATCH($D237,Listas!$C$5:$C$64,0)),3))</f>
        <v/>
      </c>
      <c r="N237" s="37"/>
      <c r="O237" s="40" t="str">
        <f aca="false">IF($A237="","",IF($K237="Concluído","Sim","Não"))</f>
        <v/>
      </c>
      <c r="P237" s="40" t="str">
        <f aca="true">IF($A237="","",IF($K237="Stand-by","Stand-by",IF($K237="Concluído","Concluída",IF(AND($M237&lt;&gt;"",$M237&lt;TODAY()),"Atrasada","Em dia"))))</f>
        <v/>
      </c>
      <c r="Q237" s="40" t="str">
        <f aca="false">IF($A237="","",IF(LEN(IF($J237="","título, ","")&amp;IF($C237="","responsável, ","")&amp;IF($D237="","tipo, ","")&amp;IF($I237="","canal, ","")&amp;IF($H237="","município, ","")&amp;IF(AND($U237="Sim",$E237=""),"empresa, ","")&amp;IF(AND($U237="Sim",$F237=""),"editor, ","")&amp;IF(AND($K237="Concluído",$N237=""),"data de conclusão, ","")&amp;IF(AND($K237="Concluído",$R237=""),"link, ","")&amp;IF(AND($K237="Concluído",$L237=""),"quem liberou, ",""))=0,"OK","Falta "&amp;LEFT(IF($J237="","título, ","")&amp;IF($C237="","responsável, ","")&amp;IF($D237="","tipo, ","")&amp;IF($I237="","canal, ","")&amp;IF($H237="","município, ","")&amp;IF(AND($U237="Sim",$E237=""),"empresa, ","")&amp;IF(AND($U237="Sim",$F237=""),"editor, ","")&amp;IF(AND($K237="Concluído",$N237=""),"data de conclusão, ","")&amp;IF(AND($K237="Concluído",$R237=""),"link, ","")&amp;IF(AND($K237="Concluído",$L237=""),"quem liberou, ",""),LEN(IF($J237="","título, ","")&amp;IF($C237="","responsável, ","")&amp;IF($D237="","tipo, ","")&amp;IF($I237="","canal, ","")&amp;IF($H237="","município, ","")&amp;IF(AND($U237="Sim",$E237=""),"empresa, ","")&amp;IF(AND($U237="Sim",$F237=""),"editor, ","")&amp;IF(AND($K237="Concluído",$N237=""),"data de conclusão, ","")&amp;IF(AND($K237="Concluído",$R237=""),"link, ","")&amp;IF(AND($K237="Concluído",$L237=""),"quem liberou, ",""))-2)))</f>
        <v/>
      </c>
      <c r="R237" s="38"/>
      <c r="S237" s="38"/>
      <c r="T237" s="38"/>
      <c r="U237" s="40" t="str">
        <f aca="false">IF($A237="","",IFERROR(INDEX(Listas!$E$5:$E$64,MATCH($D237,Listas!$C$5:$C$64,0)),"Não"))</f>
        <v/>
      </c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9" t="str">
        <f aca="false">IF(OR($A238="",$D238=""),"",$A238+IFERROR(INDEX(Listas!$D$5:$D$64,MATCH($D238,Listas!$C$5:$C$64,0)),3))</f>
        <v/>
      </c>
      <c r="N238" s="37"/>
      <c r="O238" s="40" t="str">
        <f aca="false">IF($A238="","",IF($K238="Concluído","Sim","Não"))</f>
        <v/>
      </c>
      <c r="P238" s="40" t="str">
        <f aca="true">IF($A238="","",IF($K238="Stand-by","Stand-by",IF($K238="Concluído","Concluída",IF(AND($M238&lt;&gt;"",$M238&lt;TODAY()),"Atrasada","Em dia"))))</f>
        <v/>
      </c>
      <c r="Q238" s="40" t="str">
        <f aca="false">IF($A238="","",IF(LEN(IF($J238="","título, ","")&amp;IF($C238="","responsável, ","")&amp;IF($D238="","tipo, ","")&amp;IF($I238="","canal, ","")&amp;IF($H238="","município, ","")&amp;IF(AND($U238="Sim",$E238=""),"empresa, ","")&amp;IF(AND($U238="Sim",$F238=""),"editor, ","")&amp;IF(AND($K238="Concluído",$N238=""),"data de conclusão, ","")&amp;IF(AND($K238="Concluído",$R238=""),"link, ","")&amp;IF(AND($K238="Concluído",$L238=""),"quem liberou, ",""))=0,"OK","Falta "&amp;LEFT(IF($J238="","título, ","")&amp;IF($C238="","responsável, ","")&amp;IF($D238="","tipo, ","")&amp;IF($I238="","canal, ","")&amp;IF($H238="","município, ","")&amp;IF(AND($U238="Sim",$E238=""),"empresa, ","")&amp;IF(AND($U238="Sim",$F238=""),"editor, ","")&amp;IF(AND($K238="Concluído",$N238=""),"data de conclusão, ","")&amp;IF(AND($K238="Concluído",$R238=""),"link, ","")&amp;IF(AND($K238="Concluído",$L238=""),"quem liberou, ",""),LEN(IF($J238="","título, ","")&amp;IF($C238="","responsável, ","")&amp;IF($D238="","tipo, ","")&amp;IF($I238="","canal, ","")&amp;IF($H238="","município, ","")&amp;IF(AND($U238="Sim",$E238=""),"empresa, ","")&amp;IF(AND($U238="Sim",$F238=""),"editor, ","")&amp;IF(AND($K238="Concluído",$N238=""),"data de conclusão, ","")&amp;IF(AND($K238="Concluído",$R238=""),"link, ","")&amp;IF(AND($K238="Concluído",$L238=""),"quem liberou, ",""))-2)))</f>
        <v/>
      </c>
      <c r="R238" s="38"/>
      <c r="S238" s="38"/>
      <c r="T238" s="38"/>
      <c r="U238" s="40" t="str">
        <f aca="false">IF($A238="","",IFERROR(INDEX(Listas!$E$5:$E$64,MATCH($D238,Listas!$C$5:$C$64,0)),"Não"))</f>
        <v/>
      </c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9" t="str">
        <f aca="false">IF(OR($A239="",$D239=""),"",$A239+IFERROR(INDEX(Listas!$D$5:$D$64,MATCH($D239,Listas!$C$5:$C$64,0)),3))</f>
        <v/>
      </c>
      <c r="N239" s="37"/>
      <c r="O239" s="40" t="str">
        <f aca="false">IF($A239="","",IF($K239="Concluído","Sim","Não"))</f>
        <v/>
      </c>
      <c r="P239" s="40" t="str">
        <f aca="true">IF($A239="","",IF($K239="Stand-by","Stand-by",IF($K239="Concluído","Concluída",IF(AND($M239&lt;&gt;"",$M239&lt;TODAY()),"Atrasada","Em dia"))))</f>
        <v/>
      </c>
      <c r="Q239" s="40" t="str">
        <f aca="false">IF($A239="","",IF(LEN(IF($J239="","título, ","")&amp;IF($C239="","responsável, ","")&amp;IF($D239="","tipo, ","")&amp;IF($I239="","canal, ","")&amp;IF($H239="","município, ","")&amp;IF(AND($U239="Sim",$E239=""),"empresa, ","")&amp;IF(AND($U239="Sim",$F239=""),"editor, ","")&amp;IF(AND($K239="Concluído",$N239=""),"data de conclusão, ","")&amp;IF(AND($K239="Concluído",$R239=""),"link, ","")&amp;IF(AND($K239="Concluído",$L239=""),"quem liberou, ",""))=0,"OK","Falta "&amp;LEFT(IF($J239="","título, ","")&amp;IF($C239="","responsável, ","")&amp;IF($D239="","tipo, ","")&amp;IF($I239="","canal, ","")&amp;IF($H239="","município, ","")&amp;IF(AND($U239="Sim",$E239=""),"empresa, ","")&amp;IF(AND($U239="Sim",$F239=""),"editor, ","")&amp;IF(AND($K239="Concluído",$N239=""),"data de conclusão, ","")&amp;IF(AND($K239="Concluído",$R239=""),"link, ","")&amp;IF(AND($K239="Concluído",$L239=""),"quem liberou, ",""),LEN(IF($J239="","título, ","")&amp;IF($C239="","responsável, ","")&amp;IF($D239="","tipo, ","")&amp;IF($I239="","canal, ","")&amp;IF($H239="","município, ","")&amp;IF(AND($U239="Sim",$E239=""),"empresa, ","")&amp;IF(AND($U239="Sim",$F239=""),"editor, ","")&amp;IF(AND($K239="Concluído",$N239=""),"data de conclusão, ","")&amp;IF(AND($K239="Concluído",$R239=""),"link, ","")&amp;IF(AND($K239="Concluído",$L239=""),"quem liberou, ",""))-2)))</f>
        <v/>
      </c>
      <c r="R239" s="38"/>
      <c r="S239" s="38"/>
      <c r="T239" s="38"/>
      <c r="U239" s="40" t="str">
        <f aca="false">IF($A239="","",IFERROR(INDEX(Listas!$E$5:$E$64,MATCH($D239,Listas!$C$5:$C$64,0)),"Não"))</f>
        <v/>
      </c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9" t="str">
        <f aca="false">IF(OR($A240="",$D240=""),"",$A240+IFERROR(INDEX(Listas!$D$5:$D$64,MATCH($D240,Listas!$C$5:$C$64,0)),3))</f>
        <v/>
      </c>
      <c r="N240" s="37"/>
      <c r="O240" s="40" t="str">
        <f aca="false">IF($A240="","",IF($K240="Concluído","Sim","Não"))</f>
        <v/>
      </c>
      <c r="P240" s="40" t="str">
        <f aca="true">IF($A240="","",IF($K240="Stand-by","Stand-by",IF($K240="Concluído","Concluída",IF(AND($M240&lt;&gt;"",$M240&lt;TODAY()),"Atrasada","Em dia"))))</f>
        <v/>
      </c>
      <c r="Q240" s="40" t="str">
        <f aca="false">IF($A240="","",IF(LEN(IF($J240="","título, ","")&amp;IF($C240="","responsável, ","")&amp;IF($D240="","tipo, ","")&amp;IF($I240="","canal, ","")&amp;IF($H240="","município, ","")&amp;IF(AND($U240="Sim",$E240=""),"empresa, ","")&amp;IF(AND($U240="Sim",$F240=""),"editor, ","")&amp;IF(AND($K240="Concluído",$N240=""),"data de conclusão, ","")&amp;IF(AND($K240="Concluído",$R240=""),"link, ","")&amp;IF(AND($K240="Concluído",$L240=""),"quem liberou, ",""))=0,"OK","Falta "&amp;LEFT(IF($J240="","título, ","")&amp;IF($C240="","responsável, ","")&amp;IF($D240="","tipo, ","")&amp;IF($I240="","canal, ","")&amp;IF($H240="","município, ","")&amp;IF(AND($U240="Sim",$E240=""),"empresa, ","")&amp;IF(AND($U240="Sim",$F240=""),"editor, ","")&amp;IF(AND($K240="Concluído",$N240=""),"data de conclusão, ","")&amp;IF(AND($K240="Concluído",$R240=""),"link, ","")&amp;IF(AND($K240="Concluído",$L240=""),"quem liberou, ",""),LEN(IF($J240="","título, ","")&amp;IF($C240="","responsável, ","")&amp;IF($D240="","tipo, ","")&amp;IF($I240="","canal, ","")&amp;IF($H240="","município, ","")&amp;IF(AND($U240="Sim",$E240=""),"empresa, ","")&amp;IF(AND($U240="Sim",$F240=""),"editor, ","")&amp;IF(AND($K240="Concluído",$N240=""),"data de conclusão, ","")&amp;IF(AND($K240="Concluído",$R240=""),"link, ","")&amp;IF(AND($K240="Concluído",$L240=""),"quem liberou, ",""))-2)))</f>
        <v/>
      </c>
      <c r="R240" s="38"/>
      <c r="S240" s="38"/>
      <c r="T240" s="38"/>
      <c r="U240" s="40" t="str">
        <f aca="false">IF($A240="","",IFERROR(INDEX(Listas!$E$5:$E$64,MATCH($D240,Listas!$C$5:$C$64,0)),"Não"))</f>
        <v/>
      </c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9" t="str">
        <f aca="false">IF(OR($A241="",$D241=""),"",$A241+IFERROR(INDEX(Listas!$D$5:$D$64,MATCH($D241,Listas!$C$5:$C$64,0)),3))</f>
        <v/>
      </c>
      <c r="N241" s="37"/>
      <c r="O241" s="40" t="str">
        <f aca="false">IF($A241="","",IF($K241="Concluído","Sim","Não"))</f>
        <v/>
      </c>
      <c r="P241" s="40" t="str">
        <f aca="true">IF($A241="","",IF($K241="Stand-by","Stand-by",IF($K241="Concluído","Concluída",IF(AND($M241&lt;&gt;"",$M241&lt;TODAY()),"Atrasada","Em dia"))))</f>
        <v/>
      </c>
      <c r="Q241" s="40" t="str">
        <f aca="false">IF($A241="","",IF(LEN(IF($J241="","título, ","")&amp;IF($C241="","responsável, ","")&amp;IF($D241="","tipo, ","")&amp;IF($I241="","canal, ","")&amp;IF($H241="","município, ","")&amp;IF(AND($U241="Sim",$E241=""),"empresa, ","")&amp;IF(AND($U241="Sim",$F241=""),"editor, ","")&amp;IF(AND($K241="Concluído",$N241=""),"data de conclusão, ","")&amp;IF(AND($K241="Concluído",$R241=""),"link, ","")&amp;IF(AND($K241="Concluído",$L241=""),"quem liberou, ",""))=0,"OK","Falta "&amp;LEFT(IF($J241="","título, ","")&amp;IF($C241="","responsável, ","")&amp;IF($D241="","tipo, ","")&amp;IF($I241="","canal, ","")&amp;IF($H241="","município, ","")&amp;IF(AND($U241="Sim",$E241=""),"empresa, ","")&amp;IF(AND($U241="Sim",$F241=""),"editor, ","")&amp;IF(AND($K241="Concluído",$N241=""),"data de conclusão, ","")&amp;IF(AND($K241="Concluído",$R241=""),"link, ","")&amp;IF(AND($K241="Concluído",$L241=""),"quem liberou, ",""),LEN(IF($J241="","título, ","")&amp;IF($C241="","responsável, ","")&amp;IF($D241="","tipo, ","")&amp;IF($I241="","canal, ","")&amp;IF($H241="","município, ","")&amp;IF(AND($U241="Sim",$E241=""),"empresa, ","")&amp;IF(AND($U241="Sim",$F241=""),"editor, ","")&amp;IF(AND($K241="Concluído",$N241=""),"data de conclusão, ","")&amp;IF(AND($K241="Concluído",$R241=""),"link, ","")&amp;IF(AND($K241="Concluído",$L241=""),"quem liberou, ",""))-2)))</f>
        <v/>
      </c>
      <c r="R241" s="38"/>
      <c r="S241" s="38"/>
      <c r="T241" s="38"/>
      <c r="U241" s="40" t="str">
        <f aca="false">IF($A241="","",IFERROR(INDEX(Listas!$E$5:$E$64,MATCH($D241,Listas!$C$5:$C$64,0)),"Não"))</f>
        <v/>
      </c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9" t="str">
        <f aca="false">IF(OR($A242="",$D242=""),"",$A242+IFERROR(INDEX(Listas!$D$5:$D$64,MATCH($D242,Listas!$C$5:$C$64,0)),3))</f>
        <v/>
      </c>
      <c r="N242" s="37"/>
      <c r="O242" s="40" t="str">
        <f aca="false">IF($A242="","",IF($K242="Concluído","Sim","Não"))</f>
        <v/>
      </c>
      <c r="P242" s="40" t="str">
        <f aca="true">IF($A242="","",IF($K242="Stand-by","Stand-by",IF($K242="Concluído","Concluída",IF(AND($M242&lt;&gt;"",$M242&lt;TODAY()),"Atrasada","Em dia"))))</f>
        <v/>
      </c>
      <c r="Q242" s="40" t="str">
        <f aca="false">IF($A242="","",IF(LEN(IF($J242="","título, ","")&amp;IF($C242="","responsável, ","")&amp;IF($D242="","tipo, ","")&amp;IF($I242="","canal, ","")&amp;IF($H242="","município, ","")&amp;IF(AND($U242="Sim",$E242=""),"empresa, ","")&amp;IF(AND($U242="Sim",$F242=""),"editor, ","")&amp;IF(AND($K242="Concluído",$N242=""),"data de conclusão, ","")&amp;IF(AND($K242="Concluído",$R242=""),"link, ","")&amp;IF(AND($K242="Concluído",$L242=""),"quem liberou, ",""))=0,"OK","Falta "&amp;LEFT(IF($J242="","título, ","")&amp;IF($C242="","responsável, ","")&amp;IF($D242="","tipo, ","")&amp;IF($I242="","canal, ","")&amp;IF($H242="","município, ","")&amp;IF(AND($U242="Sim",$E242=""),"empresa, ","")&amp;IF(AND($U242="Sim",$F242=""),"editor, ","")&amp;IF(AND($K242="Concluído",$N242=""),"data de conclusão, ","")&amp;IF(AND($K242="Concluído",$R242=""),"link, ","")&amp;IF(AND($K242="Concluído",$L242=""),"quem liberou, ",""),LEN(IF($J242="","título, ","")&amp;IF($C242="","responsável, ","")&amp;IF($D242="","tipo, ","")&amp;IF($I242="","canal, ","")&amp;IF($H242="","município, ","")&amp;IF(AND($U242="Sim",$E242=""),"empresa, ","")&amp;IF(AND($U242="Sim",$F242=""),"editor, ","")&amp;IF(AND($K242="Concluído",$N242=""),"data de conclusão, ","")&amp;IF(AND($K242="Concluído",$R242=""),"link, ","")&amp;IF(AND($K242="Concluído",$L242=""),"quem liberou, ",""))-2)))</f>
        <v/>
      </c>
      <c r="R242" s="38"/>
      <c r="S242" s="38"/>
      <c r="T242" s="38"/>
      <c r="U242" s="40" t="str">
        <f aca="false">IF($A242="","",IFERROR(INDEX(Listas!$E$5:$E$64,MATCH($D242,Listas!$C$5:$C$64,0)),"Não"))</f>
        <v/>
      </c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9" t="str">
        <f aca="false">IF(OR($A243="",$D243=""),"",$A243+IFERROR(INDEX(Listas!$D$5:$D$64,MATCH($D243,Listas!$C$5:$C$64,0)),3))</f>
        <v/>
      </c>
      <c r="N243" s="37"/>
      <c r="O243" s="40" t="str">
        <f aca="false">IF($A243="","",IF($K243="Concluído","Sim","Não"))</f>
        <v/>
      </c>
      <c r="P243" s="40" t="str">
        <f aca="true">IF($A243="","",IF($K243="Stand-by","Stand-by",IF($K243="Concluído","Concluída",IF(AND($M243&lt;&gt;"",$M243&lt;TODAY()),"Atrasada","Em dia"))))</f>
        <v/>
      </c>
      <c r="Q243" s="40" t="str">
        <f aca="false">IF($A243="","",IF(LEN(IF($J243="","título, ","")&amp;IF($C243="","responsável, ","")&amp;IF($D243="","tipo, ","")&amp;IF($I243="","canal, ","")&amp;IF($H243="","município, ","")&amp;IF(AND($U243="Sim",$E243=""),"empresa, ","")&amp;IF(AND($U243="Sim",$F243=""),"editor, ","")&amp;IF(AND($K243="Concluído",$N243=""),"data de conclusão, ","")&amp;IF(AND($K243="Concluído",$R243=""),"link, ","")&amp;IF(AND($K243="Concluído",$L243=""),"quem liberou, ",""))=0,"OK","Falta "&amp;LEFT(IF($J243="","título, ","")&amp;IF($C243="","responsável, ","")&amp;IF($D243="","tipo, ","")&amp;IF($I243="","canal, ","")&amp;IF($H243="","município, ","")&amp;IF(AND($U243="Sim",$E243=""),"empresa, ","")&amp;IF(AND($U243="Sim",$F243=""),"editor, ","")&amp;IF(AND($K243="Concluído",$N243=""),"data de conclusão, ","")&amp;IF(AND($K243="Concluído",$R243=""),"link, ","")&amp;IF(AND($K243="Concluído",$L243=""),"quem liberou, ",""),LEN(IF($J243="","título, ","")&amp;IF($C243="","responsável, ","")&amp;IF($D243="","tipo, ","")&amp;IF($I243="","canal, ","")&amp;IF($H243="","município, ","")&amp;IF(AND($U243="Sim",$E243=""),"empresa, ","")&amp;IF(AND($U243="Sim",$F243=""),"editor, ","")&amp;IF(AND($K243="Concluído",$N243=""),"data de conclusão, ","")&amp;IF(AND($K243="Concluído",$R243=""),"link, ","")&amp;IF(AND($K243="Concluído",$L243=""),"quem liberou, ",""))-2)))</f>
        <v/>
      </c>
      <c r="R243" s="38"/>
      <c r="S243" s="38"/>
      <c r="T243" s="38"/>
      <c r="U243" s="40" t="str">
        <f aca="false">IF($A243="","",IFERROR(INDEX(Listas!$E$5:$E$64,MATCH($D243,Listas!$C$5:$C$64,0)),"Não"))</f>
        <v/>
      </c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9" t="str">
        <f aca="false">IF(OR($A244="",$D244=""),"",$A244+IFERROR(INDEX(Listas!$D$5:$D$64,MATCH($D244,Listas!$C$5:$C$64,0)),3))</f>
        <v/>
      </c>
      <c r="N244" s="37"/>
      <c r="O244" s="40" t="str">
        <f aca="false">IF($A244="","",IF($K244="Concluído","Sim","Não"))</f>
        <v/>
      </c>
      <c r="P244" s="40" t="str">
        <f aca="true">IF($A244="","",IF($K244="Stand-by","Stand-by",IF($K244="Concluído","Concluída",IF(AND($M244&lt;&gt;"",$M244&lt;TODAY()),"Atrasada","Em dia"))))</f>
        <v/>
      </c>
      <c r="Q244" s="40" t="str">
        <f aca="false">IF($A244="","",IF(LEN(IF($J244="","título, ","")&amp;IF($C244="","responsável, ","")&amp;IF($D244="","tipo, ","")&amp;IF($I244="","canal, ","")&amp;IF($H244="","município, ","")&amp;IF(AND($U244="Sim",$E244=""),"empresa, ","")&amp;IF(AND($U244="Sim",$F244=""),"editor, ","")&amp;IF(AND($K244="Concluído",$N244=""),"data de conclusão, ","")&amp;IF(AND($K244="Concluído",$R244=""),"link, ","")&amp;IF(AND($K244="Concluído",$L244=""),"quem liberou, ",""))=0,"OK","Falta "&amp;LEFT(IF($J244="","título, ","")&amp;IF($C244="","responsável, ","")&amp;IF($D244="","tipo, ","")&amp;IF($I244="","canal, ","")&amp;IF($H244="","município, ","")&amp;IF(AND($U244="Sim",$E244=""),"empresa, ","")&amp;IF(AND($U244="Sim",$F244=""),"editor, ","")&amp;IF(AND($K244="Concluído",$N244=""),"data de conclusão, ","")&amp;IF(AND($K244="Concluído",$R244=""),"link, ","")&amp;IF(AND($K244="Concluído",$L244=""),"quem liberou, ",""),LEN(IF($J244="","título, ","")&amp;IF($C244="","responsável, ","")&amp;IF($D244="","tipo, ","")&amp;IF($I244="","canal, ","")&amp;IF($H244="","município, ","")&amp;IF(AND($U244="Sim",$E244=""),"empresa, ","")&amp;IF(AND($U244="Sim",$F244=""),"editor, ","")&amp;IF(AND($K244="Concluído",$N244=""),"data de conclusão, ","")&amp;IF(AND($K244="Concluído",$R244=""),"link, ","")&amp;IF(AND($K244="Concluído",$L244=""),"quem liberou, ",""))-2)))</f>
        <v/>
      </c>
      <c r="R244" s="38"/>
      <c r="S244" s="38"/>
      <c r="T244" s="38"/>
      <c r="U244" s="40" t="str">
        <f aca="false">IF($A244="","",IFERROR(INDEX(Listas!$E$5:$E$64,MATCH($D244,Listas!$C$5:$C$64,0)),"Não"))</f>
        <v/>
      </c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9" t="str">
        <f aca="false">IF(OR($A245="",$D245=""),"",$A245+IFERROR(INDEX(Listas!$D$5:$D$64,MATCH($D245,Listas!$C$5:$C$64,0)),3))</f>
        <v/>
      </c>
      <c r="N245" s="37"/>
      <c r="O245" s="40" t="str">
        <f aca="false">IF($A245="","",IF($K245="Concluído","Sim","Não"))</f>
        <v/>
      </c>
      <c r="P245" s="40" t="str">
        <f aca="true">IF($A245="","",IF($K245="Stand-by","Stand-by",IF($K245="Concluído","Concluída",IF(AND($M245&lt;&gt;"",$M245&lt;TODAY()),"Atrasada","Em dia"))))</f>
        <v/>
      </c>
      <c r="Q245" s="40" t="str">
        <f aca="false">IF($A245="","",IF(LEN(IF($J245="","título, ","")&amp;IF($C245="","responsável, ","")&amp;IF($D245="","tipo, ","")&amp;IF($I245="","canal, ","")&amp;IF($H245="","município, ","")&amp;IF(AND($U245="Sim",$E245=""),"empresa, ","")&amp;IF(AND($U245="Sim",$F245=""),"editor, ","")&amp;IF(AND($K245="Concluído",$N245=""),"data de conclusão, ","")&amp;IF(AND($K245="Concluído",$R245=""),"link, ","")&amp;IF(AND($K245="Concluído",$L245=""),"quem liberou, ",""))=0,"OK","Falta "&amp;LEFT(IF($J245="","título, ","")&amp;IF($C245="","responsável, ","")&amp;IF($D245="","tipo, ","")&amp;IF($I245="","canal, ","")&amp;IF($H245="","município, ","")&amp;IF(AND($U245="Sim",$E245=""),"empresa, ","")&amp;IF(AND($U245="Sim",$F245=""),"editor, ","")&amp;IF(AND($K245="Concluído",$N245=""),"data de conclusão, ","")&amp;IF(AND($K245="Concluído",$R245=""),"link, ","")&amp;IF(AND($K245="Concluído",$L245=""),"quem liberou, ",""),LEN(IF($J245="","título, ","")&amp;IF($C245="","responsável, ","")&amp;IF($D245="","tipo, ","")&amp;IF($I245="","canal, ","")&amp;IF($H245="","município, ","")&amp;IF(AND($U245="Sim",$E245=""),"empresa, ","")&amp;IF(AND($U245="Sim",$F245=""),"editor, ","")&amp;IF(AND($K245="Concluído",$N245=""),"data de conclusão, ","")&amp;IF(AND($K245="Concluído",$R245=""),"link, ","")&amp;IF(AND($K245="Concluído",$L245=""),"quem liberou, ",""))-2)))</f>
        <v/>
      </c>
      <c r="R245" s="38"/>
      <c r="S245" s="38"/>
      <c r="T245" s="38"/>
      <c r="U245" s="40" t="str">
        <f aca="false">IF($A245="","",IFERROR(INDEX(Listas!$E$5:$E$64,MATCH($D245,Listas!$C$5:$C$64,0)),"Não"))</f>
        <v/>
      </c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9" t="str">
        <f aca="false">IF(OR($A246="",$D246=""),"",$A246+IFERROR(INDEX(Listas!$D$5:$D$64,MATCH($D246,Listas!$C$5:$C$64,0)),3))</f>
        <v/>
      </c>
      <c r="N246" s="37"/>
      <c r="O246" s="40" t="str">
        <f aca="false">IF($A246="","",IF($K246="Concluído","Sim","Não"))</f>
        <v/>
      </c>
      <c r="P246" s="40" t="str">
        <f aca="true">IF($A246="","",IF($K246="Stand-by","Stand-by",IF($K246="Concluído","Concluída",IF(AND($M246&lt;&gt;"",$M246&lt;TODAY()),"Atrasada","Em dia"))))</f>
        <v/>
      </c>
      <c r="Q246" s="40" t="str">
        <f aca="false">IF($A246="","",IF(LEN(IF($J246="","título, ","")&amp;IF($C246="","responsável, ","")&amp;IF($D246="","tipo, ","")&amp;IF($I246="","canal, ","")&amp;IF($H246="","município, ","")&amp;IF(AND($U246="Sim",$E246=""),"empresa, ","")&amp;IF(AND($U246="Sim",$F246=""),"editor, ","")&amp;IF(AND($K246="Concluído",$N246=""),"data de conclusão, ","")&amp;IF(AND($K246="Concluído",$R246=""),"link, ","")&amp;IF(AND($K246="Concluído",$L246=""),"quem liberou, ",""))=0,"OK","Falta "&amp;LEFT(IF($J246="","título, ","")&amp;IF($C246="","responsável, ","")&amp;IF($D246="","tipo, ","")&amp;IF($I246="","canal, ","")&amp;IF($H246="","município, ","")&amp;IF(AND($U246="Sim",$E246=""),"empresa, ","")&amp;IF(AND($U246="Sim",$F246=""),"editor, ","")&amp;IF(AND($K246="Concluído",$N246=""),"data de conclusão, ","")&amp;IF(AND($K246="Concluído",$R246=""),"link, ","")&amp;IF(AND($K246="Concluído",$L246=""),"quem liberou, ",""),LEN(IF($J246="","título, ","")&amp;IF($C246="","responsável, ","")&amp;IF($D246="","tipo, ","")&amp;IF($I246="","canal, ","")&amp;IF($H246="","município, ","")&amp;IF(AND($U246="Sim",$E246=""),"empresa, ","")&amp;IF(AND($U246="Sim",$F246=""),"editor, ","")&amp;IF(AND($K246="Concluído",$N246=""),"data de conclusão, ","")&amp;IF(AND($K246="Concluído",$R246=""),"link, ","")&amp;IF(AND($K246="Concluído",$L246=""),"quem liberou, ",""))-2)))</f>
        <v/>
      </c>
      <c r="R246" s="38"/>
      <c r="S246" s="38"/>
      <c r="T246" s="38"/>
      <c r="U246" s="40" t="str">
        <f aca="false">IF($A246="","",IFERROR(INDEX(Listas!$E$5:$E$64,MATCH($D246,Listas!$C$5:$C$64,0)),"Não"))</f>
        <v/>
      </c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9" t="str">
        <f aca="false">IF(OR($A247="",$D247=""),"",$A247+IFERROR(INDEX(Listas!$D$5:$D$64,MATCH($D247,Listas!$C$5:$C$64,0)),3))</f>
        <v/>
      </c>
      <c r="N247" s="37"/>
      <c r="O247" s="40" t="str">
        <f aca="false">IF($A247="","",IF($K247="Concluído","Sim","Não"))</f>
        <v/>
      </c>
      <c r="P247" s="40" t="str">
        <f aca="true">IF($A247="","",IF($K247="Stand-by","Stand-by",IF($K247="Concluído","Concluída",IF(AND($M247&lt;&gt;"",$M247&lt;TODAY()),"Atrasada","Em dia"))))</f>
        <v/>
      </c>
      <c r="Q247" s="40" t="str">
        <f aca="false">IF($A247="","",IF(LEN(IF($J247="","título, ","")&amp;IF($C247="","responsável, ","")&amp;IF($D247="","tipo, ","")&amp;IF($I247="","canal, ","")&amp;IF($H247="","município, ","")&amp;IF(AND($U247="Sim",$E247=""),"empresa, ","")&amp;IF(AND($U247="Sim",$F247=""),"editor, ","")&amp;IF(AND($K247="Concluído",$N247=""),"data de conclusão, ","")&amp;IF(AND($K247="Concluído",$R247=""),"link, ","")&amp;IF(AND($K247="Concluído",$L247=""),"quem liberou, ",""))=0,"OK","Falta "&amp;LEFT(IF($J247="","título, ","")&amp;IF($C247="","responsável, ","")&amp;IF($D247="","tipo, ","")&amp;IF($I247="","canal, ","")&amp;IF($H247="","município, ","")&amp;IF(AND($U247="Sim",$E247=""),"empresa, ","")&amp;IF(AND($U247="Sim",$F247=""),"editor, ","")&amp;IF(AND($K247="Concluído",$N247=""),"data de conclusão, ","")&amp;IF(AND($K247="Concluído",$R247=""),"link, ","")&amp;IF(AND($K247="Concluído",$L247=""),"quem liberou, ",""),LEN(IF($J247="","título, ","")&amp;IF($C247="","responsável, ","")&amp;IF($D247="","tipo, ","")&amp;IF($I247="","canal, ","")&amp;IF($H247="","município, ","")&amp;IF(AND($U247="Sim",$E247=""),"empresa, ","")&amp;IF(AND($U247="Sim",$F247=""),"editor, ","")&amp;IF(AND($K247="Concluído",$N247=""),"data de conclusão, ","")&amp;IF(AND($K247="Concluído",$R247=""),"link, ","")&amp;IF(AND($K247="Concluído",$L247=""),"quem liberou, ",""))-2)))</f>
        <v/>
      </c>
      <c r="R247" s="38"/>
      <c r="S247" s="38"/>
      <c r="T247" s="38"/>
      <c r="U247" s="40" t="str">
        <f aca="false">IF($A247="","",IFERROR(INDEX(Listas!$E$5:$E$64,MATCH($D247,Listas!$C$5:$C$64,0)),"Não"))</f>
        <v/>
      </c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9" t="str">
        <f aca="false">IF(OR($A248="",$D248=""),"",$A248+IFERROR(INDEX(Listas!$D$5:$D$64,MATCH($D248,Listas!$C$5:$C$64,0)),3))</f>
        <v/>
      </c>
      <c r="N248" s="37"/>
      <c r="O248" s="40" t="str">
        <f aca="false">IF($A248="","",IF($K248="Concluído","Sim","Não"))</f>
        <v/>
      </c>
      <c r="P248" s="40" t="str">
        <f aca="true">IF($A248="","",IF($K248="Stand-by","Stand-by",IF($K248="Concluído","Concluída",IF(AND($M248&lt;&gt;"",$M248&lt;TODAY()),"Atrasada","Em dia"))))</f>
        <v/>
      </c>
      <c r="Q248" s="40" t="str">
        <f aca="false">IF($A248="","",IF(LEN(IF($J248="","título, ","")&amp;IF($C248="","responsável, ","")&amp;IF($D248="","tipo, ","")&amp;IF($I248="","canal, ","")&amp;IF($H248="","município, ","")&amp;IF(AND($U248="Sim",$E248=""),"empresa, ","")&amp;IF(AND($U248="Sim",$F248=""),"editor, ","")&amp;IF(AND($K248="Concluído",$N248=""),"data de conclusão, ","")&amp;IF(AND($K248="Concluído",$R248=""),"link, ","")&amp;IF(AND($K248="Concluído",$L248=""),"quem liberou, ",""))=0,"OK","Falta "&amp;LEFT(IF($J248="","título, ","")&amp;IF($C248="","responsável, ","")&amp;IF($D248="","tipo, ","")&amp;IF($I248="","canal, ","")&amp;IF($H248="","município, ","")&amp;IF(AND($U248="Sim",$E248=""),"empresa, ","")&amp;IF(AND($U248="Sim",$F248=""),"editor, ","")&amp;IF(AND($K248="Concluído",$N248=""),"data de conclusão, ","")&amp;IF(AND($K248="Concluído",$R248=""),"link, ","")&amp;IF(AND($K248="Concluído",$L248=""),"quem liberou, ",""),LEN(IF($J248="","título, ","")&amp;IF($C248="","responsável, ","")&amp;IF($D248="","tipo, ","")&amp;IF($I248="","canal, ","")&amp;IF($H248="","município, ","")&amp;IF(AND($U248="Sim",$E248=""),"empresa, ","")&amp;IF(AND($U248="Sim",$F248=""),"editor, ","")&amp;IF(AND($K248="Concluído",$N248=""),"data de conclusão, ","")&amp;IF(AND($K248="Concluído",$R248=""),"link, ","")&amp;IF(AND($K248="Concluído",$L248=""),"quem liberou, ",""))-2)))</f>
        <v/>
      </c>
      <c r="R248" s="38"/>
      <c r="S248" s="38"/>
      <c r="T248" s="38"/>
      <c r="U248" s="40" t="str">
        <f aca="false">IF($A248="","",IFERROR(INDEX(Listas!$E$5:$E$64,MATCH($D248,Listas!$C$5:$C$64,0)),"Não"))</f>
        <v/>
      </c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9" t="str">
        <f aca="false">IF(OR($A249="",$D249=""),"",$A249+IFERROR(INDEX(Listas!$D$5:$D$64,MATCH($D249,Listas!$C$5:$C$64,0)),3))</f>
        <v/>
      </c>
      <c r="N249" s="37"/>
      <c r="O249" s="40" t="str">
        <f aca="false">IF($A249="","",IF($K249="Concluído","Sim","Não"))</f>
        <v/>
      </c>
      <c r="P249" s="40" t="str">
        <f aca="true">IF($A249="","",IF($K249="Stand-by","Stand-by",IF($K249="Concluído","Concluída",IF(AND($M249&lt;&gt;"",$M249&lt;TODAY()),"Atrasada","Em dia"))))</f>
        <v/>
      </c>
      <c r="Q249" s="40" t="str">
        <f aca="false">IF($A249="","",IF(LEN(IF($J249="","título, ","")&amp;IF($C249="","responsável, ","")&amp;IF($D249="","tipo, ","")&amp;IF($I249="","canal, ","")&amp;IF($H249="","município, ","")&amp;IF(AND($U249="Sim",$E249=""),"empresa, ","")&amp;IF(AND($U249="Sim",$F249=""),"editor, ","")&amp;IF(AND($K249="Concluído",$N249=""),"data de conclusão, ","")&amp;IF(AND($K249="Concluído",$R249=""),"link, ","")&amp;IF(AND($K249="Concluído",$L249=""),"quem liberou, ",""))=0,"OK","Falta "&amp;LEFT(IF($J249="","título, ","")&amp;IF($C249="","responsável, ","")&amp;IF($D249="","tipo, ","")&amp;IF($I249="","canal, ","")&amp;IF($H249="","município, ","")&amp;IF(AND($U249="Sim",$E249=""),"empresa, ","")&amp;IF(AND($U249="Sim",$F249=""),"editor, ","")&amp;IF(AND($K249="Concluído",$N249=""),"data de conclusão, ","")&amp;IF(AND($K249="Concluído",$R249=""),"link, ","")&amp;IF(AND($K249="Concluído",$L249=""),"quem liberou, ",""),LEN(IF($J249="","título, ","")&amp;IF($C249="","responsável, ","")&amp;IF($D249="","tipo, ","")&amp;IF($I249="","canal, ","")&amp;IF($H249="","município, ","")&amp;IF(AND($U249="Sim",$E249=""),"empresa, ","")&amp;IF(AND($U249="Sim",$F249=""),"editor, ","")&amp;IF(AND($K249="Concluído",$N249=""),"data de conclusão, ","")&amp;IF(AND($K249="Concluído",$R249=""),"link, ","")&amp;IF(AND($K249="Concluído",$L249=""),"quem liberou, ",""))-2)))</f>
        <v/>
      </c>
      <c r="R249" s="38"/>
      <c r="S249" s="38"/>
      <c r="T249" s="38"/>
      <c r="U249" s="40" t="str">
        <f aca="false">IF($A249="","",IFERROR(INDEX(Listas!$E$5:$E$64,MATCH($D249,Listas!$C$5:$C$64,0)),"Não"))</f>
        <v/>
      </c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9" t="str">
        <f aca="false">IF(OR($A250="",$D250=""),"",$A250+IFERROR(INDEX(Listas!$D$5:$D$64,MATCH($D250,Listas!$C$5:$C$64,0)),3))</f>
        <v/>
      </c>
      <c r="N250" s="37"/>
      <c r="O250" s="40" t="str">
        <f aca="false">IF($A250="","",IF($K250="Concluído","Sim","Não"))</f>
        <v/>
      </c>
      <c r="P250" s="40" t="str">
        <f aca="true">IF($A250="","",IF($K250="Stand-by","Stand-by",IF($K250="Concluído","Concluída",IF(AND($M250&lt;&gt;"",$M250&lt;TODAY()),"Atrasada","Em dia"))))</f>
        <v/>
      </c>
      <c r="Q250" s="40" t="str">
        <f aca="false">IF($A250="","",IF(LEN(IF($J250="","título, ","")&amp;IF($C250="","responsável, ","")&amp;IF($D250="","tipo, ","")&amp;IF($I250="","canal, ","")&amp;IF($H250="","município, ","")&amp;IF(AND($U250="Sim",$E250=""),"empresa, ","")&amp;IF(AND($U250="Sim",$F250=""),"editor, ","")&amp;IF(AND($K250="Concluído",$N250=""),"data de conclusão, ","")&amp;IF(AND($K250="Concluído",$R250=""),"link, ","")&amp;IF(AND($K250="Concluído",$L250=""),"quem liberou, ",""))=0,"OK","Falta "&amp;LEFT(IF($J250="","título, ","")&amp;IF($C250="","responsável, ","")&amp;IF($D250="","tipo, ","")&amp;IF($I250="","canal, ","")&amp;IF($H250="","município, ","")&amp;IF(AND($U250="Sim",$E250=""),"empresa, ","")&amp;IF(AND($U250="Sim",$F250=""),"editor, ","")&amp;IF(AND($K250="Concluído",$N250=""),"data de conclusão, ","")&amp;IF(AND($K250="Concluído",$R250=""),"link, ","")&amp;IF(AND($K250="Concluído",$L250=""),"quem liberou, ",""),LEN(IF($J250="","título, ","")&amp;IF($C250="","responsável, ","")&amp;IF($D250="","tipo, ","")&amp;IF($I250="","canal, ","")&amp;IF($H250="","município, ","")&amp;IF(AND($U250="Sim",$E250=""),"empresa, ","")&amp;IF(AND($U250="Sim",$F250=""),"editor, ","")&amp;IF(AND($K250="Concluído",$N250=""),"data de conclusão, ","")&amp;IF(AND($K250="Concluído",$R250=""),"link, ","")&amp;IF(AND($K250="Concluído",$L250=""),"quem liberou, ",""))-2)))</f>
        <v/>
      </c>
      <c r="R250" s="38"/>
      <c r="S250" s="38"/>
      <c r="T250" s="38"/>
      <c r="U250" s="40" t="str">
        <f aca="false">IF($A250="","",IFERROR(INDEX(Listas!$E$5:$E$64,MATCH($D250,Listas!$C$5:$C$64,0)),"Não"))</f>
        <v/>
      </c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9" t="str">
        <f aca="false">IF(OR($A251="",$D251=""),"",$A251+IFERROR(INDEX(Listas!$D$5:$D$64,MATCH($D251,Listas!$C$5:$C$64,0)),3))</f>
        <v/>
      </c>
      <c r="N251" s="37"/>
      <c r="O251" s="40" t="str">
        <f aca="false">IF($A251="","",IF($K251="Concluído","Sim","Não"))</f>
        <v/>
      </c>
      <c r="P251" s="40" t="str">
        <f aca="true">IF($A251="","",IF($K251="Stand-by","Stand-by",IF($K251="Concluído","Concluída",IF(AND($M251&lt;&gt;"",$M251&lt;TODAY()),"Atrasada","Em dia"))))</f>
        <v/>
      </c>
      <c r="Q251" s="40" t="str">
        <f aca="false">IF($A251="","",IF(LEN(IF($J251="","título, ","")&amp;IF($C251="","responsável, ","")&amp;IF($D251="","tipo, ","")&amp;IF($I251="","canal, ","")&amp;IF($H251="","município, ","")&amp;IF(AND($U251="Sim",$E251=""),"empresa, ","")&amp;IF(AND($U251="Sim",$F251=""),"editor, ","")&amp;IF(AND($K251="Concluído",$N251=""),"data de conclusão, ","")&amp;IF(AND($K251="Concluído",$R251=""),"link, ","")&amp;IF(AND($K251="Concluído",$L251=""),"quem liberou, ",""))=0,"OK","Falta "&amp;LEFT(IF($J251="","título, ","")&amp;IF($C251="","responsável, ","")&amp;IF($D251="","tipo, ","")&amp;IF($I251="","canal, ","")&amp;IF($H251="","município, ","")&amp;IF(AND($U251="Sim",$E251=""),"empresa, ","")&amp;IF(AND($U251="Sim",$F251=""),"editor, ","")&amp;IF(AND($K251="Concluído",$N251=""),"data de conclusão, ","")&amp;IF(AND($K251="Concluído",$R251=""),"link, ","")&amp;IF(AND($K251="Concluído",$L251=""),"quem liberou, ",""),LEN(IF($J251="","título, ","")&amp;IF($C251="","responsável, ","")&amp;IF($D251="","tipo, ","")&amp;IF($I251="","canal, ","")&amp;IF($H251="","município, ","")&amp;IF(AND($U251="Sim",$E251=""),"empresa, ","")&amp;IF(AND($U251="Sim",$F251=""),"editor, ","")&amp;IF(AND($K251="Concluído",$N251=""),"data de conclusão, ","")&amp;IF(AND($K251="Concluído",$R251=""),"link, ","")&amp;IF(AND($K251="Concluído",$L251=""),"quem liberou, ",""))-2)))</f>
        <v/>
      </c>
      <c r="R251" s="38"/>
      <c r="S251" s="38"/>
      <c r="T251" s="38"/>
      <c r="U251" s="40" t="str">
        <f aca="false">IF($A251="","",IFERROR(INDEX(Listas!$E$5:$E$64,MATCH($D251,Listas!$C$5:$C$64,0)),"Não"))</f>
        <v/>
      </c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9" t="str">
        <f aca="false">IF(OR($A252="",$D252=""),"",$A252+IFERROR(INDEX(Listas!$D$5:$D$64,MATCH($D252,Listas!$C$5:$C$64,0)),3))</f>
        <v/>
      </c>
      <c r="N252" s="37"/>
      <c r="O252" s="40" t="str">
        <f aca="false">IF($A252="","",IF($K252="Concluído","Sim","Não"))</f>
        <v/>
      </c>
      <c r="P252" s="40" t="str">
        <f aca="true">IF($A252="","",IF($K252="Stand-by","Stand-by",IF($K252="Concluído","Concluída",IF(AND($M252&lt;&gt;"",$M252&lt;TODAY()),"Atrasada","Em dia"))))</f>
        <v/>
      </c>
      <c r="Q252" s="40" t="str">
        <f aca="false">IF($A252="","",IF(LEN(IF($J252="","título, ","")&amp;IF($C252="","responsável, ","")&amp;IF($D252="","tipo, ","")&amp;IF($I252="","canal, ","")&amp;IF($H252="","município, ","")&amp;IF(AND($U252="Sim",$E252=""),"empresa, ","")&amp;IF(AND($U252="Sim",$F252=""),"editor, ","")&amp;IF(AND($K252="Concluído",$N252=""),"data de conclusão, ","")&amp;IF(AND($K252="Concluído",$R252=""),"link, ","")&amp;IF(AND($K252="Concluído",$L252=""),"quem liberou, ",""))=0,"OK","Falta "&amp;LEFT(IF($J252="","título, ","")&amp;IF($C252="","responsável, ","")&amp;IF($D252="","tipo, ","")&amp;IF($I252="","canal, ","")&amp;IF($H252="","município, ","")&amp;IF(AND($U252="Sim",$E252=""),"empresa, ","")&amp;IF(AND($U252="Sim",$F252=""),"editor, ","")&amp;IF(AND($K252="Concluído",$N252=""),"data de conclusão, ","")&amp;IF(AND($K252="Concluído",$R252=""),"link, ","")&amp;IF(AND($K252="Concluído",$L252=""),"quem liberou, ",""),LEN(IF($J252="","título, ","")&amp;IF($C252="","responsável, ","")&amp;IF($D252="","tipo, ","")&amp;IF($I252="","canal, ","")&amp;IF($H252="","município, ","")&amp;IF(AND($U252="Sim",$E252=""),"empresa, ","")&amp;IF(AND($U252="Sim",$F252=""),"editor, ","")&amp;IF(AND($K252="Concluído",$N252=""),"data de conclusão, ","")&amp;IF(AND($K252="Concluído",$R252=""),"link, ","")&amp;IF(AND($K252="Concluído",$L252=""),"quem liberou, ",""))-2)))</f>
        <v/>
      </c>
      <c r="R252" s="38"/>
      <c r="S252" s="38"/>
      <c r="T252" s="38"/>
      <c r="U252" s="40" t="str">
        <f aca="false">IF($A252="","",IFERROR(INDEX(Listas!$E$5:$E$64,MATCH($D252,Listas!$C$5:$C$64,0)),"Não"))</f>
        <v/>
      </c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9" t="str">
        <f aca="false">IF(OR($A253="",$D253=""),"",$A253+IFERROR(INDEX(Listas!$D$5:$D$64,MATCH($D253,Listas!$C$5:$C$64,0)),3))</f>
        <v/>
      </c>
      <c r="N253" s="37"/>
      <c r="O253" s="40" t="str">
        <f aca="false">IF($A253="","",IF($K253="Concluído","Sim","Não"))</f>
        <v/>
      </c>
      <c r="P253" s="40" t="str">
        <f aca="true">IF($A253="","",IF($K253="Stand-by","Stand-by",IF($K253="Concluído","Concluída",IF(AND($M253&lt;&gt;"",$M253&lt;TODAY()),"Atrasada","Em dia"))))</f>
        <v/>
      </c>
      <c r="Q253" s="40" t="str">
        <f aca="false">IF($A253="","",IF(LEN(IF($J253="","título, ","")&amp;IF($C253="","responsável, ","")&amp;IF($D253="","tipo, ","")&amp;IF($I253="","canal, ","")&amp;IF($H253="","município, ","")&amp;IF(AND($U253="Sim",$E253=""),"empresa, ","")&amp;IF(AND($U253="Sim",$F253=""),"editor, ","")&amp;IF(AND($K253="Concluído",$N253=""),"data de conclusão, ","")&amp;IF(AND($K253="Concluído",$R253=""),"link, ","")&amp;IF(AND($K253="Concluído",$L253=""),"quem liberou, ",""))=0,"OK","Falta "&amp;LEFT(IF($J253="","título, ","")&amp;IF($C253="","responsável, ","")&amp;IF($D253="","tipo, ","")&amp;IF($I253="","canal, ","")&amp;IF($H253="","município, ","")&amp;IF(AND($U253="Sim",$E253=""),"empresa, ","")&amp;IF(AND($U253="Sim",$F253=""),"editor, ","")&amp;IF(AND($K253="Concluído",$N253=""),"data de conclusão, ","")&amp;IF(AND($K253="Concluído",$R253=""),"link, ","")&amp;IF(AND($K253="Concluído",$L253=""),"quem liberou, ",""),LEN(IF($J253="","título, ","")&amp;IF($C253="","responsável, ","")&amp;IF($D253="","tipo, ","")&amp;IF($I253="","canal, ","")&amp;IF($H253="","município, ","")&amp;IF(AND($U253="Sim",$E253=""),"empresa, ","")&amp;IF(AND($U253="Sim",$F253=""),"editor, ","")&amp;IF(AND($K253="Concluído",$N253=""),"data de conclusão, ","")&amp;IF(AND($K253="Concluído",$R253=""),"link, ","")&amp;IF(AND($K253="Concluído",$L253=""),"quem liberou, ",""))-2)))</f>
        <v/>
      </c>
      <c r="R253" s="38"/>
      <c r="S253" s="38"/>
      <c r="T253" s="38"/>
      <c r="U253" s="40" t="str">
        <f aca="false">IF($A253="","",IFERROR(INDEX(Listas!$E$5:$E$64,MATCH($D253,Listas!$C$5:$C$64,0)),"Não"))</f>
        <v/>
      </c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9" t="str">
        <f aca="false">IF(OR($A254="",$D254=""),"",$A254+IFERROR(INDEX(Listas!$D$5:$D$64,MATCH($D254,Listas!$C$5:$C$64,0)),3))</f>
        <v/>
      </c>
      <c r="N254" s="37"/>
      <c r="O254" s="40" t="str">
        <f aca="false">IF($A254="","",IF($K254="Concluído","Sim","Não"))</f>
        <v/>
      </c>
      <c r="P254" s="40" t="str">
        <f aca="true">IF($A254="","",IF($K254="Stand-by","Stand-by",IF($K254="Concluído","Concluída",IF(AND($M254&lt;&gt;"",$M254&lt;TODAY()),"Atrasada","Em dia"))))</f>
        <v/>
      </c>
      <c r="Q254" s="40" t="str">
        <f aca="false">IF($A254="","",IF(LEN(IF($J254="","título, ","")&amp;IF($C254="","responsável, ","")&amp;IF($D254="","tipo, ","")&amp;IF($I254="","canal, ","")&amp;IF($H254="","município, ","")&amp;IF(AND($U254="Sim",$E254=""),"empresa, ","")&amp;IF(AND($U254="Sim",$F254=""),"editor, ","")&amp;IF(AND($K254="Concluído",$N254=""),"data de conclusão, ","")&amp;IF(AND($K254="Concluído",$R254=""),"link, ","")&amp;IF(AND($K254="Concluído",$L254=""),"quem liberou, ",""))=0,"OK","Falta "&amp;LEFT(IF($J254="","título, ","")&amp;IF($C254="","responsável, ","")&amp;IF($D254="","tipo, ","")&amp;IF($I254="","canal, ","")&amp;IF($H254="","município, ","")&amp;IF(AND($U254="Sim",$E254=""),"empresa, ","")&amp;IF(AND($U254="Sim",$F254=""),"editor, ","")&amp;IF(AND($K254="Concluído",$N254=""),"data de conclusão, ","")&amp;IF(AND($K254="Concluído",$R254=""),"link, ","")&amp;IF(AND($K254="Concluído",$L254=""),"quem liberou, ",""),LEN(IF($J254="","título, ","")&amp;IF($C254="","responsável, ","")&amp;IF($D254="","tipo, ","")&amp;IF($I254="","canal, ","")&amp;IF($H254="","município, ","")&amp;IF(AND($U254="Sim",$E254=""),"empresa, ","")&amp;IF(AND($U254="Sim",$F254=""),"editor, ","")&amp;IF(AND($K254="Concluído",$N254=""),"data de conclusão, ","")&amp;IF(AND($K254="Concluído",$R254=""),"link, ","")&amp;IF(AND($K254="Concluído",$L254=""),"quem liberou, ",""))-2)))</f>
        <v/>
      </c>
      <c r="R254" s="38"/>
      <c r="S254" s="38"/>
      <c r="T254" s="38"/>
      <c r="U254" s="40" t="str">
        <f aca="false">IF($A254="","",IFERROR(INDEX(Listas!$E$5:$E$64,MATCH($D254,Listas!$C$5:$C$64,0)),"Não"))</f>
        <v/>
      </c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9" t="str">
        <f aca="false">IF(OR($A255="",$D255=""),"",$A255+IFERROR(INDEX(Listas!$D$5:$D$64,MATCH($D255,Listas!$C$5:$C$64,0)),3))</f>
        <v/>
      </c>
      <c r="N255" s="37"/>
      <c r="O255" s="40" t="str">
        <f aca="false">IF($A255="","",IF($K255="Concluído","Sim","Não"))</f>
        <v/>
      </c>
      <c r="P255" s="40" t="str">
        <f aca="true">IF($A255="","",IF($K255="Stand-by","Stand-by",IF($K255="Concluído","Concluída",IF(AND($M255&lt;&gt;"",$M255&lt;TODAY()),"Atrasada","Em dia"))))</f>
        <v/>
      </c>
      <c r="Q255" s="40" t="str">
        <f aca="false">IF($A255="","",IF(LEN(IF($J255="","título, ","")&amp;IF($C255="","responsável, ","")&amp;IF($D255="","tipo, ","")&amp;IF($I255="","canal, ","")&amp;IF($H255="","município, ","")&amp;IF(AND($U255="Sim",$E255=""),"empresa, ","")&amp;IF(AND($U255="Sim",$F255=""),"editor, ","")&amp;IF(AND($K255="Concluído",$N255=""),"data de conclusão, ","")&amp;IF(AND($K255="Concluído",$R255=""),"link, ","")&amp;IF(AND($K255="Concluído",$L255=""),"quem liberou, ",""))=0,"OK","Falta "&amp;LEFT(IF($J255="","título, ","")&amp;IF($C255="","responsável, ","")&amp;IF($D255="","tipo, ","")&amp;IF($I255="","canal, ","")&amp;IF($H255="","município, ","")&amp;IF(AND($U255="Sim",$E255=""),"empresa, ","")&amp;IF(AND($U255="Sim",$F255=""),"editor, ","")&amp;IF(AND($K255="Concluído",$N255=""),"data de conclusão, ","")&amp;IF(AND($K255="Concluído",$R255=""),"link, ","")&amp;IF(AND($K255="Concluído",$L255=""),"quem liberou, ",""),LEN(IF($J255="","título, ","")&amp;IF($C255="","responsável, ","")&amp;IF($D255="","tipo, ","")&amp;IF($I255="","canal, ","")&amp;IF($H255="","município, ","")&amp;IF(AND($U255="Sim",$E255=""),"empresa, ","")&amp;IF(AND($U255="Sim",$F255=""),"editor, ","")&amp;IF(AND($K255="Concluído",$N255=""),"data de conclusão, ","")&amp;IF(AND($K255="Concluído",$R255=""),"link, ","")&amp;IF(AND($K255="Concluído",$L255=""),"quem liberou, ",""))-2)))</f>
        <v/>
      </c>
      <c r="R255" s="38"/>
      <c r="S255" s="38"/>
      <c r="T255" s="38"/>
      <c r="U255" s="40" t="str">
        <f aca="false">IF($A255="","",IFERROR(INDEX(Listas!$E$5:$E$64,MATCH($D255,Listas!$C$5:$C$64,0)),"Não"))</f>
        <v/>
      </c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9" t="str">
        <f aca="false">IF(OR($A256="",$D256=""),"",$A256+IFERROR(INDEX(Listas!$D$5:$D$64,MATCH($D256,Listas!$C$5:$C$64,0)),3))</f>
        <v/>
      </c>
      <c r="N256" s="37"/>
      <c r="O256" s="40" t="str">
        <f aca="false">IF($A256="","",IF($K256="Concluído","Sim","Não"))</f>
        <v/>
      </c>
      <c r="P256" s="40" t="str">
        <f aca="true">IF($A256="","",IF($K256="Stand-by","Stand-by",IF($K256="Concluído","Concluída",IF(AND($M256&lt;&gt;"",$M256&lt;TODAY()),"Atrasada","Em dia"))))</f>
        <v/>
      </c>
      <c r="Q256" s="40" t="str">
        <f aca="false">IF($A256="","",IF(LEN(IF($J256="","título, ","")&amp;IF($C256="","responsável, ","")&amp;IF($D256="","tipo, ","")&amp;IF($I256="","canal, ","")&amp;IF($H256="","município, ","")&amp;IF(AND($U256="Sim",$E256=""),"empresa, ","")&amp;IF(AND($U256="Sim",$F256=""),"editor, ","")&amp;IF(AND($K256="Concluído",$N256=""),"data de conclusão, ","")&amp;IF(AND($K256="Concluído",$R256=""),"link, ","")&amp;IF(AND($K256="Concluído",$L256=""),"quem liberou, ",""))=0,"OK","Falta "&amp;LEFT(IF($J256="","título, ","")&amp;IF($C256="","responsável, ","")&amp;IF($D256="","tipo, ","")&amp;IF($I256="","canal, ","")&amp;IF($H256="","município, ","")&amp;IF(AND($U256="Sim",$E256=""),"empresa, ","")&amp;IF(AND($U256="Sim",$F256=""),"editor, ","")&amp;IF(AND($K256="Concluído",$N256=""),"data de conclusão, ","")&amp;IF(AND($K256="Concluído",$R256=""),"link, ","")&amp;IF(AND($K256="Concluído",$L256=""),"quem liberou, ",""),LEN(IF($J256="","título, ","")&amp;IF($C256="","responsável, ","")&amp;IF($D256="","tipo, ","")&amp;IF($I256="","canal, ","")&amp;IF($H256="","município, ","")&amp;IF(AND($U256="Sim",$E256=""),"empresa, ","")&amp;IF(AND($U256="Sim",$F256=""),"editor, ","")&amp;IF(AND($K256="Concluído",$N256=""),"data de conclusão, ","")&amp;IF(AND($K256="Concluído",$R256=""),"link, ","")&amp;IF(AND($K256="Concluído",$L256=""),"quem liberou, ",""))-2)))</f>
        <v/>
      </c>
      <c r="R256" s="38"/>
      <c r="S256" s="38"/>
      <c r="T256" s="38"/>
      <c r="U256" s="40" t="str">
        <f aca="false">IF($A256="","",IFERROR(INDEX(Listas!$E$5:$E$64,MATCH($D256,Listas!$C$5:$C$64,0)),"Não"))</f>
        <v/>
      </c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9" t="str">
        <f aca="false">IF(OR($A257="",$D257=""),"",$A257+IFERROR(INDEX(Listas!$D$5:$D$64,MATCH($D257,Listas!$C$5:$C$64,0)),3))</f>
        <v/>
      </c>
      <c r="N257" s="37"/>
      <c r="O257" s="40" t="str">
        <f aca="false">IF($A257="","",IF($K257="Concluído","Sim","Não"))</f>
        <v/>
      </c>
      <c r="P257" s="40" t="str">
        <f aca="true">IF($A257="","",IF($K257="Stand-by","Stand-by",IF($K257="Concluído","Concluída",IF(AND($M257&lt;&gt;"",$M257&lt;TODAY()),"Atrasada","Em dia"))))</f>
        <v/>
      </c>
      <c r="Q257" s="40" t="str">
        <f aca="false">IF($A257="","",IF(LEN(IF($J257="","título, ","")&amp;IF($C257="","responsável, ","")&amp;IF($D257="","tipo, ","")&amp;IF($I257="","canal, ","")&amp;IF($H257="","município, ","")&amp;IF(AND($U257="Sim",$E257=""),"empresa, ","")&amp;IF(AND($U257="Sim",$F257=""),"editor, ","")&amp;IF(AND($K257="Concluído",$N257=""),"data de conclusão, ","")&amp;IF(AND($K257="Concluído",$R257=""),"link, ","")&amp;IF(AND($K257="Concluído",$L257=""),"quem liberou, ",""))=0,"OK","Falta "&amp;LEFT(IF($J257="","título, ","")&amp;IF($C257="","responsável, ","")&amp;IF($D257="","tipo, ","")&amp;IF($I257="","canal, ","")&amp;IF($H257="","município, ","")&amp;IF(AND($U257="Sim",$E257=""),"empresa, ","")&amp;IF(AND($U257="Sim",$F257=""),"editor, ","")&amp;IF(AND($K257="Concluído",$N257=""),"data de conclusão, ","")&amp;IF(AND($K257="Concluído",$R257=""),"link, ","")&amp;IF(AND($K257="Concluído",$L257=""),"quem liberou, ",""),LEN(IF($J257="","título, ","")&amp;IF($C257="","responsável, ","")&amp;IF($D257="","tipo, ","")&amp;IF($I257="","canal, ","")&amp;IF($H257="","município, ","")&amp;IF(AND($U257="Sim",$E257=""),"empresa, ","")&amp;IF(AND($U257="Sim",$F257=""),"editor, ","")&amp;IF(AND($K257="Concluído",$N257=""),"data de conclusão, ","")&amp;IF(AND($K257="Concluído",$R257=""),"link, ","")&amp;IF(AND($K257="Concluído",$L257=""),"quem liberou, ",""))-2)))</f>
        <v/>
      </c>
      <c r="R257" s="38"/>
      <c r="S257" s="38"/>
      <c r="T257" s="38"/>
      <c r="U257" s="40" t="str">
        <f aca="false">IF($A257="","",IFERROR(INDEX(Listas!$E$5:$E$64,MATCH($D257,Listas!$C$5:$C$64,0)),"Não"))</f>
        <v/>
      </c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9" t="str">
        <f aca="false">IF(OR($A258="",$D258=""),"",$A258+IFERROR(INDEX(Listas!$D$5:$D$64,MATCH($D258,Listas!$C$5:$C$64,0)),3))</f>
        <v/>
      </c>
      <c r="N258" s="37"/>
      <c r="O258" s="40" t="str">
        <f aca="false">IF($A258="","",IF($K258="Concluído","Sim","Não"))</f>
        <v/>
      </c>
      <c r="P258" s="40" t="str">
        <f aca="true">IF($A258="","",IF($K258="Stand-by","Stand-by",IF($K258="Concluído","Concluída",IF(AND($M258&lt;&gt;"",$M258&lt;TODAY()),"Atrasada","Em dia"))))</f>
        <v/>
      </c>
      <c r="Q258" s="40" t="str">
        <f aca="false">IF($A258="","",IF(LEN(IF($J258="","título, ","")&amp;IF($C258="","responsável, ","")&amp;IF($D258="","tipo, ","")&amp;IF($I258="","canal, ","")&amp;IF($H258="","município, ","")&amp;IF(AND($U258="Sim",$E258=""),"empresa, ","")&amp;IF(AND($U258="Sim",$F258=""),"editor, ","")&amp;IF(AND($K258="Concluído",$N258=""),"data de conclusão, ","")&amp;IF(AND($K258="Concluído",$R258=""),"link, ","")&amp;IF(AND($K258="Concluído",$L258=""),"quem liberou, ",""))=0,"OK","Falta "&amp;LEFT(IF($J258="","título, ","")&amp;IF($C258="","responsável, ","")&amp;IF($D258="","tipo, ","")&amp;IF($I258="","canal, ","")&amp;IF($H258="","município, ","")&amp;IF(AND($U258="Sim",$E258=""),"empresa, ","")&amp;IF(AND($U258="Sim",$F258=""),"editor, ","")&amp;IF(AND($K258="Concluído",$N258=""),"data de conclusão, ","")&amp;IF(AND($K258="Concluído",$R258=""),"link, ","")&amp;IF(AND($K258="Concluído",$L258=""),"quem liberou, ",""),LEN(IF($J258="","título, ","")&amp;IF($C258="","responsável, ","")&amp;IF($D258="","tipo, ","")&amp;IF($I258="","canal, ","")&amp;IF($H258="","município, ","")&amp;IF(AND($U258="Sim",$E258=""),"empresa, ","")&amp;IF(AND($U258="Sim",$F258=""),"editor, ","")&amp;IF(AND($K258="Concluído",$N258=""),"data de conclusão, ","")&amp;IF(AND($K258="Concluído",$R258=""),"link, ","")&amp;IF(AND($K258="Concluído",$L258=""),"quem liberou, ",""))-2)))</f>
        <v/>
      </c>
      <c r="R258" s="38"/>
      <c r="S258" s="38"/>
      <c r="T258" s="38"/>
      <c r="U258" s="40" t="str">
        <f aca="false">IF($A258="","",IFERROR(INDEX(Listas!$E$5:$E$64,MATCH($D258,Listas!$C$5:$C$64,0)),"Não"))</f>
        <v/>
      </c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9" t="str">
        <f aca="false">IF(OR($A259="",$D259=""),"",$A259+IFERROR(INDEX(Listas!$D$5:$D$64,MATCH($D259,Listas!$C$5:$C$64,0)),3))</f>
        <v/>
      </c>
      <c r="N259" s="37"/>
      <c r="O259" s="40" t="str">
        <f aca="false">IF($A259="","",IF($K259="Concluído","Sim","Não"))</f>
        <v/>
      </c>
      <c r="P259" s="40" t="str">
        <f aca="true">IF($A259="","",IF($K259="Stand-by","Stand-by",IF($K259="Concluído","Concluída",IF(AND($M259&lt;&gt;"",$M259&lt;TODAY()),"Atrasada","Em dia"))))</f>
        <v/>
      </c>
      <c r="Q259" s="40" t="str">
        <f aca="false">IF($A259="","",IF(LEN(IF($J259="","título, ","")&amp;IF($C259="","responsável, ","")&amp;IF($D259="","tipo, ","")&amp;IF($I259="","canal, ","")&amp;IF($H259="","município, ","")&amp;IF(AND($U259="Sim",$E259=""),"empresa, ","")&amp;IF(AND($U259="Sim",$F259=""),"editor, ","")&amp;IF(AND($K259="Concluído",$N259=""),"data de conclusão, ","")&amp;IF(AND($K259="Concluído",$R259=""),"link, ","")&amp;IF(AND($K259="Concluído",$L259=""),"quem liberou, ",""))=0,"OK","Falta "&amp;LEFT(IF($J259="","título, ","")&amp;IF($C259="","responsável, ","")&amp;IF($D259="","tipo, ","")&amp;IF($I259="","canal, ","")&amp;IF($H259="","município, ","")&amp;IF(AND($U259="Sim",$E259=""),"empresa, ","")&amp;IF(AND($U259="Sim",$F259=""),"editor, ","")&amp;IF(AND($K259="Concluído",$N259=""),"data de conclusão, ","")&amp;IF(AND($K259="Concluído",$R259=""),"link, ","")&amp;IF(AND($K259="Concluído",$L259=""),"quem liberou, ",""),LEN(IF($J259="","título, ","")&amp;IF($C259="","responsável, ","")&amp;IF($D259="","tipo, ","")&amp;IF($I259="","canal, ","")&amp;IF($H259="","município, ","")&amp;IF(AND($U259="Sim",$E259=""),"empresa, ","")&amp;IF(AND($U259="Sim",$F259=""),"editor, ","")&amp;IF(AND($K259="Concluído",$N259=""),"data de conclusão, ","")&amp;IF(AND($K259="Concluído",$R259=""),"link, ","")&amp;IF(AND($K259="Concluído",$L259=""),"quem liberou, ",""))-2)))</f>
        <v/>
      </c>
      <c r="R259" s="38"/>
      <c r="S259" s="38"/>
      <c r="T259" s="38"/>
      <c r="U259" s="40" t="str">
        <f aca="false">IF($A259="","",IFERROR(INDEX(Listas!$E$5:$E$64,MATCH($D259,Listas!$C$5:$C$64,0)),"Não"))</f>
        <v/>
      </c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9" t="str">
        <f aca="false">IF(OR($A260="",$D260=""),"",$A260+IFERROR(INDEX(Listas!$D$5:$D$64,MATCH($D260,Listas!$C$5:$C$64,0)),3))</f>
        <v/>
      </c>
      <c r="N260" s="37"/>
      <c r="O260" s="40" t="str">
        <f aca="false">IF($A260="","",IF($K260="Concluído","Sim","Não"))</f>
        <v/>
      </c>
      <c r="P260" s="40" t="str">
        <f aca="true">IF($A260="","",IF($K260="Stand-by","Stand-by",IF($K260="Concluído","Concluída",IF(AND($M260&lt;&gt;"",$M260&lt;TODAY()),"Atrasada","Em dia"))))</f>
        <v/>
      </c>
      <c r="Q260" s="40" t="str">
        <f aca="false">IF($A260="","",IF(LEN(IF($J260="","título, ","")&amp;IF($C260="","responsável, ","")&amp;IF($D260="","tipo, ","")&amp;IF($I260="","canal, ","")&amp;IF($H260="","município, ","")&amp;IF(AND($U260="Sim",$E260=""),"empresa, ","")&amp;IF(AND($U260="Sim",$F260=""),"editor, ","")&amp;IF(AND($K260="Concluído",$N260=""),"data de conclusão, ","")&amp;IF(AND($K260="Concluído",$R260=""),"link, ","")&amp;IF(AND($K260="Concluído",$L260=""),"quem liberou, ",""))=0,"OK","Falta "&amp;LEFT(IF($J260="","título, ","")&amp;IF($C260="","responsável, ","")&amp;IF($D260="","tipo, ","")&amp;IF($I260="","canal, ","")&amp;IF($H260="","município, ","")&amp;IF(AND($U260="Sim",$E260=""),"empresa, ","")&amp;IF(AND($U260="Sim",$F260=""),"editor, ","")&amp;IF(AND($K260="Concluído",$N260=""),"data de conclusão, ","")&amp;IF(AND($K260="Concluído",$R260=""),"link, ","")&amp;IF(AND($K260="Concluído",$L260=""),"quem liberou, ",""),LEN(IF($J260="","título, ","")&amp;IF($C260="","responsável, ","")&amp;IF($D260="","tipo, ","")&amp;IF($I260="","canal, ","")&amp;IF($H260="","município, ","")&amp;IF(AND($U260="Sim",$E260=""),"empresa, ","")&amp;IF(AND($U260="Sim",$F260=""),"editor, ","")&amp;IF(AND($K260="Concluído",$N260=""),"data de conclusão, ","")&amp;IF(AND($K260="Concluído",$R260=""),"link, ","")&amp;IF(AND($K260="Concluído",$L260=""),"quem liberou, ",""))-2)))</f>
        <v/>
      </c>
      <c r="R260" s="38"/>
      <c r="S260" s="38"/>
      <c r="T260" s="38"/>
      <c r="U260" s="40" t="str">
        <f aca="false">IF($A260="","",IFERROR(INDEX(Listas!$E$5:$E$64,MATCH($D260,Listas!$C$5:$C$64,0)),"Não"))</f>
        <v/>
      </c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9" t="str">
        <f aca="false">IF(OR($A261="",$D261=""),"",$A261+IFERROR(INDEX(Listas!$D$5:$D$64,MATCH($D261,Listas!$C$5:$C$64,0)),3))</f>
        <v/>
      </c>
      <c r="N261" s="37"/>
      <c r="O261" s="40" t="str">
        <f aca="false">IF($A261="","",IF($K261="Concluído","Sim","Não"))</f>
        <v/>
      </c>
      <c r="P261" s="40" t="str">
        <f aca="true">IF($A261="","",IF($K261="Stand-by","Stand-by",IF($K261="Concluído","Concluída",IF(AND($M261&lt;&gt;"",$M261&lt;TODAY()),"Atrasada","Em dia"))))</f>
        <v/>
      </c>
      <c r="Q261" s="40" t="str">
        <f aca="false">IF($A261="","",IF(LEN(IF($J261="","título, ","")&amp;IF($C261="","responsável, ","")&amp;IF($D261="","tipo, ","")&amp;IF($I261="","canal, ","")&amp;IF($H261="","município, ","")&amp;IF(AND($U261="Sim",$E261=""),"empresa, ","")&amp;IF(AND($U261="Sim",$F261=""),"editor, ","")&amp;IF(AND($K261="Concluído",$N261=""),"data de conclusão, ","")&amp;IF(AND($K261="Concluído",$R261=""),"link, ","")&amp;IF(AND($K261="Concluído",$L261=""),"quem liberou, ",""))=0,"OK","Falta "&amp;LEFT(IF($J261="","título, ","")&amp;IF($C261="","responsável, ","")&amp;IF($D261="","tipo, ","")&amp;IF($I261="","canal, ","")&amp;IF($H261="","município, ","")&amp;IF(AND($U261="Sim",$E261=""),"empresa, ","")&amp;IF(AND($U261="Sim",$F261=""),"editor, ","")&amp;IF(AND($K261="Concluído",$N261=""),"data de conclusão, ","")&amp;IF(AND($K261="Concluído",$R261=""),"link, ","")&amp;IF(AND($K261="Concluído",$L261=""),"quem liberou, ",""),LEN(IF($J261="","título, ","")&amp;IF($C261="","responsável, ","")&amp;IF($D261="","tipo, ","")&amp;IF($I261="","canal, ","")&amp;IF($H261="","município, ","")&amp;IF(AND($U261="Sim",$E261=""),"empresa, ","")&amp;IF(AND($U261="Sim",$F261=""),"editor, ","")&amp;IF(AND($K261="Concluído",$N261=""),"data de conclusão, ","")&amp;IF(AND($K261="Concluído",$R261=""),"link, ","")&amp;IF(AND($K261="Concluído",$L261=""),"quem liberou, ",""))-2)))</f>
        <v/>
      </c>
      <c r="R261" s="38"/>
      <c r="S261" s="38"/>
      <c r="T261" s="38"/>
      <c r="U261" s="40" t="str">
        <f aca="false">IF($A261="","",IFERROR(INDEX(Listas!$E$5:$E$64,MATCH($D261,Listas!$C$5:$C$64,0)),"Não"))</f>
        <v/>
      </c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9" t="str">
        <f aca="false">IF(OR($A262="",$D262=""),"",$A262+IFERROR(INDEX(Listas!$D$5:$D$64,MATCH($D262,Listas!$C$5:$C$64,0)),3))</f>
        <v/>
      </c>
      <c r="N262" s="37"/>
      <c r="O262" s="40" t="str">
        <f aca="false">IF($A262="","",IF($K262="Concluído","Sim","Não"))</f>
        <v/>
      </c>
      <c r="P262" s="40" t="str">
        <f aca="true">IF($A262="","",IF($K262="Stand-by","Stand-by",IF($K262="Concluído","Concluída",IF(AND($M262&lt;&gt;"",$M262&lt;TODAY()),"Atrasada","Em dia"))))</f>
        <v/>
      </c>
      <c r="Q262" s="40" t="str">
        <f aca="false">IF($A262="","",IF(LEN(IF($J262="","título, ","")&amp;IF($C262="","responsável, ","")&amp;IF($D262="","tipo, ","")&amp;IF($I262="","canal, ","")&amp;IF($H262="","município, ","")&amp;IF(AND($U262="Sim",$E262=""),"empresa, ","")&amp;IF(AND($U262="Sim",$F262=""),"editor, ","")&amp;IF(AND($K262="Concluído",$N262=""),"data de conclusão, ","")&amp;IF(AND($K262="Concluído",$R262=""),"link, ","")&amp;IF(AND($K262="Concluído",$L262=""),"quem liberou, ",""))=0,"OK","Falta "&amp;LEFT(IF($J262="","título, ","")&amp;IF($C262="","responsável, ","")&amp;IF($D262="","tipo, ","")&amp;IF($I262="","canal, ","")&amp;IF($H262="","município, ","")&amp;IF(AND($U262="Sim",$E262=""),"empresa, ","")&amp;IF(AND($U262="Sim",$F262=""),"editor, ","")&amp;IF(AND($K262="Concluído",$N262=""),"data de conclusão, ","")&amp;IF(AND($K262="Concluído",$R262=""),"link, ","")&amp;IF(AND($K262="Concluído",$L262=""),"quem liberou, ",""),LEN(IF($J262="","título, ","")&amp;IF($C262="","responsável, ","")&amp;IF($D262="","tipo, ","")&amp;IF($I262="","canal, ","")&amp;IF($H262="","município, ","")&amp;IF(AND($U262="Sim",$E262=""),"empresa, ","")&amp;IF(AND($U262="Sim",$F262=""),"editor, ","")&amp;IF(AND($K262="Concluído",$N262=""),"data de conclusão, ","")&amp;IF(AND($K262="Concluído",$R262=""),"link, ","")&amp;IF(AND($K262="Concluído",$L262=""),"quem liberou, ",""))-2)))</f>
        <v/>
      </c>
      <c r="R262" s="38"/>
      <c r="S262" s="38"/>
      <c r="T262" s="38"/>
      <c r="U262" s="40" t="str">
        <f aca="false">IF($A262="","",IFERROR(INDEX(Listas!$E$5:$E$64,MATCH($D262,Listas!$C$5:$C$64,0)),"Não"))</f>
        <v/>
      </c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9" t="str">
        <f aca="false">IF(OR($A263="",$D263=""),"",$A263+IFERROR(INDEX(Listas!$D$5:$D$64,MATCH($D263,Listas!$C$5:$C$64,0)),3))</f>
        <v/>
      </c>
      <c r="N263" s="37"/>
      <c r="O263" s="40" t="str">
        <f aca="false">IF($A263="","",IF($K263="Concluído","Sim","Não"))</f>
        <v/>
      </c>
      <c r="P263" s="40" t="str">
        <f aca="true">IF($A263="","",IF($K263="Stand-by","Stand-by",IF($K263="Concluído","Concluída",IF(AND($M263&lt;&gt;"",$M263&lt;TODAY()),"Atrasada","Em dia"))))</f>
        <v/>
      </c>
      <c r="Q263" s="40" t="str">
        <f aca="false">IF($A263="","",IF(LEN(IF($J263="","título, ","")&amp;IF($C263="","responsável, ","")&amp;IF($D263="","tipo, ","")&amp;IF($I263="","canal, ","")&amp;IF($H263="","município, ","")&amp;IF(AND($U263="Sim",$E263=""),"empresa, ","")&amp;IF(AND($U263="Sim",$F263=""),"editor, ","")&amp;IF(AND($K263="Concluído",$N263=""),"data de conclusão, ","")&amp;IF(AND($K263="Concluído",$R263=""),"link, ","")&amp;IF(AND($K263="Concluído",$L263=""),"quem liberou, ",""))=0,"OK","Falta "&amp;LEFT(IF($J263="","título, ","")&amp;IF($C263="","responsável, ","")&amp;IF($D263="","tipo, ","")&amp;IF($I263="","canal, ","")&amp;IF($H263="","município, ","")&amp;IF(AND($U263="Sim",$E263=""),"empresa, ","")&amp;IF(AND($U263="Sim",$F263=""),"editor, ","")&amp;IF(AND($K263="Concluído",$N263=""),"data de conclusão, ","")&amp;IF(AND($K263="Concluído",$R263=""),"link, ","")&amp;IF(AND($K263="Concluído",$L263=""),"quem liberou, ",""),LEN(IF($J263="","título, ","")&amp;IF($C263="","responsável, ","")&amp;IF($D263="","tipo, ","")&amp;IF($I263="","canal, ","")&amp;IF($H263="","município, ","")&amp;IF(AND($U263="Sim",$E263=""),"empresa, ","")&amp;IF(AND($U263="Sim",$F263=""),"editor, ","")&amp;IF(AND($K263="Concluído",$N263=""),"data de conclusão, ","")&amp;IF(AND($K263="Concluído",$R263=""),"link, ","")&amp;IF(AND($K263="Concluído",$L263=""),"quem liberou, ",""))-2)))</f>
        <v/>
      </c>
      <c r="R263" s="38"/>
      <c r="S263" s="38"/>
      <c r="T263" s="38"/>
      <c r="U263" s="40" t="str">
        <f aca="false">IF($A263="","",IFERROR(INDEX(Listas!$E$5:$E$64,MATCH($D263,Listas!$C$5:$C$64,0)),"Não"))</f>
        <v/>
      </c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9" t="str">
        <f aca="false">IF(OR($A264="",$D264=""),"",$A264+IFERROR(INDEX(Listas!$D$5:$D$64,MATCH($D264,Listas!$C$5:$C$64,0)),3))</f>
        <v/>
      </c>
      <c r="N264" s="37"/>
      <c r="O264" s="40" t="str">
        <f aca="false">IF($A264="","",IF($K264="Concluído","Sim","Não"))</f>
        <v/>
      </c>
      <c r="P264" s="40" t="str">
        <f aca="true">IF($A264="","",IF($K264="Stand-by","Stand-by",IF($K264="Concluído","Concluída",IF(AND($M264&lt;&gt;"",$M264&lt;TODAY()),"Atrasada","Em dia"))))</f>
        <v/>
      </c>
      <c r="Q264" s="40" t="str">
        <f aca="false">IF($A264="","",IF(LEN(IF($J264="","título, ","")&amp;IF($C264="","responsável, ","")&amp;IF($D264="","tipo, ","")&amp;IF($I264="","canal, ","")&amp;IF($H264="","município, ","")&amp;IF(AND($U264="Sim",$E264=""),"empresa, ","")&amp;IF(AND($U264="Sim",$F264=""),"editor, ","")&amp;IF(AND($K264="Concluído",$N264=""),"data de conclusão, ","")&amp;IF(AND($K264="Concluído",$R264=""),"link, ","")&amp;IF(AND($K264="Concluído",$L264=""),"quem liberou, ",""))=0,"OK","Falta "&amp;LEFT(IF($J264="","título, ","")&amp;IF($C264="","responsável, ","")&amp;IF($D264="","tipo, ","")&amp;IF($I264="","canal, ","")&amp;IF($H264="","município, ","")&amp;IF(AND($U264="Sim",$E264=""),"empresa, ","")&amp;IF(AND($U264="Sim",$F264=""),"editor, ","")&amp;IF(AND($K264="Concluído",$N264=""),"data de conclusão, ","")&amp;IF(AND($K264="Concluído",$R264=""),"link, ","")&amp;IF(AND($K264="Concluído",$L264=""),"quem liberou, ",""),LEN(IF($J264="","título, ","")&amp;IF($C264="","responsável, ","")&amp;IF($D264="","tipo, ","")&amp;IF($I264="","canal, ","")&amp;IF($H264="","município, ","")&amp;IF(AND($U264="Sim",$E264=""),"empresa, ","")&amp;IF(AND($U264="Sim",$F264=""),"editor, ","")&amp;IF(AND($K264="Concluído",$N264=""),"data de conclusão, ","")&amp;IF(AND($K264="Concluído",$R264=""),"link, ","")&amp;IF(AND($K264="Concluído",$L264=""),"quem liberou, ",""))-2)))</f>
        <v/>
      </c>
      <c r="R264" s="38"/>
      <c r="S264" s="38"/>
      <c r="T264" s="38"/>
      <c r="U264" s="40" t="str">
        <f aca="false">IF($A264="","",IFERROR(INDEX(Listas!$E$5:$E$64,MATCH($D264,Listas!$C$5:$C$64,0)),"Não"))</f>
        <v/>
      </c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9" t="str">
        <f aca="false">IF(OR($A265="",$D265=""),"",$A265+IFERROR(INDEX(Listas!$D$5:$D$64,MATCH($D265,Listas!$C$5:$C$64,0)),3))</f>
        <v/>
      </c>
      <c r="N265" s="37"/>
      <c r="O265" s="40" t="str">
        <f aca="false">IF($A265="","",IF($K265="Concluído","Sim","Não"))</f>
        <v/>
      </c>
      <c r="P265" s="40" t="str">
        <f aca="true">IF($A265="","",IF($K265="Stand-by","Stand-by",IF($K265="Concluído","Concluída",IF(AND($M265&lt;&gt;"",$M265&lt;TODAY()),"Atrasada","Em dia"))))</f>
        <v/>
      </c>
      <c r="Q265" s="40" t="str">
        <f aca="false">IF($A265="","",IF(LEN(IF($J265="","título, ","")&amp;IF($C265="","responsável, ","")&amp;IF($D265="","tipo, ","")&amp;IF($I265="","canal, ","")&amp;IF($H265="","município, ","")&amp;IF(AND($U265="Sim",$E265=""),"empresa, ","")&amp;IF(AND($U265="Sim",$F265=""),"editor, ","")&amp;IF(AND($K265="Concluído",$N265=""),"data de conclusão, ","")&amp;IF(AND($K265="Concluído",$R265=""),"link, ","")&amp;IF(AND($K265="Concluído",$L265=""),"quem liberou, ",""))=0,"OK","Falta "&amp;LEFT(IF($J265="","título, ","")&amp;IF($C265="","responsável, ","")&amp;IF($D265="","tipo, ","")&amp;IF($I265="","canal, ","")&amp;IF($H265="","município, ","")&amp;IF(AND($U265="Sim",$E265=""),"empresa, ","")&amp;IF(AND($U265="Sim",$F265=""),"editor, ","")&amp;IF(AND($K265="Concluído",$N265=""),"data de conclusão, ","")&amp;IF(AND($K265="Concluído",$R265=""),"link, ","")&amp;IF(AND($K265="Concluído",$L265=""),"quem liberou, ",""),LEN(IF($J265="","título, ","")&amp;IF($C265="","responsável, ","")&amp;IF($D265="","tipo, ","")&amp;IF($I265="","canal, ","")&amp;IF($H265="","município, ","")&amp;IF(AND($U265="Sim",$E265=""),"empresa, ","")&amp;IF(AND($U265="Sim",$F265=""),"editor, ","")&amp;IF(AND($K265="Concluído",$N265=""),"data de conclusão, ","")&amp;IF(AND($K265="Concluído",$R265=""),"link, ","")&amp;IF(AND($K265="Concluído",$L265=""),"quem liberou, ",""))-2)))</f>
        <v/>
      </c>
      <c r="R265" s="38"/>
      <c r="S265" s="38"/>
      <c r="T265" s="38"/>
      <c r="U265" s="40" t="str">
        <f aca="false">IF($A265="","",IFERROR(INDEX(Listas!$E$5:$E$64,MATCH($D265,Listas!$C$5:$C$64,0)),"Não"))</f>
        <v/>
      </c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9" t="str">
        <f aca="false">IF(OR($A266="",$D266=""),"",$A266+IFERROR(INDEX(Listas!$D$5:$D$64,MATCH($D266,Listas!$C$5:$C$64,0)),3))</f>
        <v/>
      </c>
      <c r="N266" s="37"/>
      <c r="O266" s="40" t="str">
        <f aca="false">IF($A266="","",IF($K266="Concluído","Sim","Não"))</f>
        <v/>
      </c>
      <c r="P266" s="40" t="str">
        <f aca="true">IF($A266="","",IF($K266="Stand-by","Stand-by",IF($K266="Concluído","Concluída",IF(AND($M266&lt;&gt;"",$M266&lt;TODAY()),"Atrasada","Em dia"))))</f>
        <v/>
      </c>
      <c r="Q266" s="40" t="str">
        <f aca="false">IF($A266="","",IF(LEN(IF($J266="","título, ","")&amp;IF($C266="","responsável, ","")&amp;IF($D266="","tipo, ","")&amp;IF($I266="","canal, ","")&amp;IF($H266="","município, ","")&amp;IF(AND($U266="Sim",$E266=""),"empresa, ","")&amp;IF(AND($U266="Sim",$F266=""),"editor, ","")&amp;IF(AND($K266="Concluído",$N266=""),"data de conclusão, ","")&amp;IF(AND($K266="Concluído",$R266=""),"link, ","")&amp;IF(AND($K266="Concluído",$L266=""),"quem liberou, ",""))=0,"OK","Falta "&amp;LEFT(IF($J266="","título, ","")&amp;IF($C266="","responsável, ","")&amp;IF($D266="","tipo, ","")&amp;IF($I266="","canal, ","")&amp;IF($H266="","município, ","")&amp;IF(AND($U266="Sim",$E266=""),"empresa, ","")&amp;IF(AND($U266="Sim",$F266=""),"editor, ","")&amp;IF(AND($K266="Concluído",$N266=""),"data de conclusão, ","")&amp;IF(AND($K266="Concluído",$R266=""),"link, ","")&amp;IF(AND($K266="Concluído",$L266=""),"quem liberou, ",""),LEN(IF($J266="","título, ","")&amp;IF($C266="","responsável, ","")&amp;IF($D266="","tipo, ","")&amp;IF($I266="","canal, ","")&amp;IF($H266="","município, ","")&amp;IF(AND($U266="Sim",$E266=""),"empresa, ","")&amp;IF(AND($U266="Sim",$F266=""),"editor, ","")&amp;IF(AND($K266="Concluído",$N266=""),"data de conclusão, ","")&amp;IF(AND($K266="Concluído",$R266=""),"link, ","")&amp;IF(AND($K266="Concluído",$L266=""),"quem liberou, ",""))-2)))</f>
        <v/>
      </c>
      <c r="R266" s="38"/>
      <c r="S266" s="38"/>
      <c r="T266" s="38"/>
      <c r="U266" s="40" t="str">
        <f aca="false">IF($A266="","",IFERROR(INDEX(Listas!$E$5:$E$64,MATCH($D266,Listas!$C$5:$C$64,0)),"Não"))</f>
        <v/>
      </c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9" t="str">
        <f aca="false">IF(OR($A267="",$D267=""),"",$A267+IFERROR(INDEX(Listas!$D$5:$D$64,MATCH($D267,Listas!$C$5:$C$64,0)),3))</f>
        <v/>
      </c>
      <c r="N267" s="37"/>
      <c r="O267" s="40" t="str">
        <f aca="false">IF($A267="","",IF($K267="Concluído","Sim","Não"))</f>
        <v/>
      </c>
      <c r="P267" s="40" t="str">
        <f aca="true">IF($A267="","",IF($K267="Stand-by","Stand-by",IF($K267="Concluído","Concluída",IF(AND($M267&lt;&gt;"",$M267&lt;TODAY()),"Atrasada","Em dia"))))</f>
        <v/>
      </c>
      <c r="Q267" s="40" t="str">
        <f aca="false">IF($A267="","",IF(LEN(IF($J267="","título, ","")&amp;IF($C267="","responsável, ","")&amp;IF($D267="","tipo, ","")&amp;IF($I267="","canal, ","")&amp;IF($H267="","município, ","")&amp;IF(AND($U267="Sim",$E267=""),"empresa, ","")&amp;IF(AND($U267="Sim",$F267=""),"editor, ","")&amp;IF(AND($K267="Concluído",$N267=""),"data de conclusão, ","")&amp;IF(AND($K267="Concluído",$R267=""),"link, ","")&amp;IF(AND($K267="Concluído",$L267=""),"quem liberou, ",""))=0,"OK","Falta "&amp;LEFT(IF($J267="","título, ","")&amp;IF($C267="","responsável, ","")&amp;IF($D267="","tipo, ","")&amp;IF($I267="","canal, ","")&amp;IF($H267="","município, ","")&amp;IF(AND($U267="Sim",$E267=""),"empresa, ","")&amp;IF(AND($U267="Sim",$F267=""),"editor, ","")&amp;IF(AND($K267="Concluído",$N267=""),"data de conclusão, ","")&amp;IF(AND($K267="Concluído",$R267=""),"link, ","")&amp;IF(AND($K267="Concluído",$L267=""),"quem liberou, ",""),LEN(IF($J267="","título, ","")&amp;IF($C267="","responsável, ","")&amp;IF($D267="","tipo, ","")&amp;IF($I267="","canal, ","")&amp;IF($H267="","município, ","")&amp;IF(AND($U267="Sim",$E267=""),"empresa, ","")&amp;IF(AND($U267="Sim",$F267=""),"editor, ","")&amp;IF(AND($K267="Concluído",$N267=""),"data de conclusão, ","")&amp;IF(AND($K267="Concluído",$R267=""),"link, ","")&amp;IF(AND($K267="Concluído",$L267=""),"quem liberou, ",""))-2)))</f>
        <v/>
      </c>
      <c r="R267" s="38"/>
      <c r="S267" s="38"/>
      <c r="T267" s="38"/>
      <c r="U267" s="40" t="str">
        <f aca="false">IF($A267="","",IFERROR(INDEX(Listas!$E$5:$E$64,MATCH($D267,Listas!$C$5:$C$64,0)),"Não"))</f>
        <v/>
      </c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9" t="str">
        <f aca="false">IF(OR($A268="",$D268=""),"",$A268+IFERROR(INDEX(Listas!$D$5:$D$64,MATCH($D268,Listas!$C$5:$C$64,0)),3))</f>
        <v/>
      </c>
      <c r="N268" s="37"/>
      <c r="O268" s="40" t="str">
        <f aca="false">IF($A268="","",IF($K268="Concluído","Sim","Não"))</f>
        <v/>
      </c>
      <c r="P268" s="40" t="str">
        <f aca="true">IF($A268="","",IF($K268="Stand-by","Stand-by",IF($K268="Concluído","Concluída",IF(AND($M268&lt;&gt;"",$M268&lt;TODAY()),"Atrasada","Em dia"))))</f>
        <v/>
      </c>
      <c r="Q268" s="40" t="str">
        <f aca="false">IF($A268="","",IF(LEN(IF($J268="","título, ","")&amp;IF($C268="","responsável, ","")&amp;IF($D268="","tipo, ","")&amp;IF($I268="","canal, ","")&amp;IF($H268="","município, ","")&amp;IF(AND($U268="Sim",$E268=""),"empresa, ","")&amp;IF(AND($U268="Sim",$F268=""),"editor, ","")&amp;IF(AND($K268="Concluído",$N268=""),"data de conclusão, ","")&amp;IF(AND($K268="Concluído",$R268=""),"link, ","")&amp;IF(AND($K268="Concluído",$L268=""),"quem liberou, ",""))=0,"OK","Falta "&amp;LEFT(IF($J268="","título, ","")&amp;IF($C268="","responsável, ","")&amp;IF($D268="","tipo, ","")&amp;IF($I268="","canal, ","")&amp;IF($H268="","município, ","")&amp;IF(AND($U268="Sim",$E268=""),"empresa, ","")&amp;IF(AND($U268="Sim",$F268=""),"editor, ","")&amp;IF(AND($K268="Concluído",$N268=""),"data de conclusão, ","")&amp;IF(AND($K268="Concluído",$R268=""),"link, ","")&amp;IF(AND($K268="Concluído",$L268=""),"quem liberou, ",""),LEN(IF($J268="","título, ","")&amp;IF($C268="","responsável, ","")&amp;IF($D268="","tipo, ","")&amp;IF($I268="","canal, ","")&amp;IF($H268="","município, ","")&amp;IF(AND($U268="Sim",$E268=""),"empresa, ","")&amp;IF(AND($U268="Sim",$F268=""),"editor, ","")&amp;IF(AND($K268="Concluído",$N268=""),"data de conclusão, ","")&amp;IF(AND($K268="Concluído",$R268=""),"link, ","")&amp;IF(AND($K268="Concluído",$L268=""),"quem liberou, ",""))-2)))</f>
        <v/>
      </c>
      <c r="R268" s="38"/>
      <c r="S268" s="38"/>
      <c r="T268" s="38"/>
      <c r="U268" s="40" t="str">
        <f aca="false">IF($A268="","",IFERROR(INDEX(Listas!$E$5:$E$64,MATCH($D268,Listas!$C$5:$C$64,0)),"Não"))</f>
        <v/>
      </c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9" t="str">
        <f aca="false">IF(OR($A269="",$D269=""),"",$A269+IFERROR(INDEX(Listas!$D$5:$D$64,MATCH($D269,Listas!$C$5:$C$64,0)),3))</f>
        <v/>
      </c>
      <c r="N269" s="37"/>
      <c r="O269" s="40" t="str">
        <f aca="false">IF($A269="","",IF($K269="Concluído","Sim","Não"))</f>
        <v/>
      </c>
      <c r="P269" s="40" t="str">
        <f aca="true">IF($A269="","",IF($K269="Stand-by","Stand-by",IF($K269="Concluído","Concluída",IF(AND($M269&lt;&gt;"",$M269&lt;TODAY()),"Atrasada","Em dia"))))</f>
        <v/>
      </c>
      <c r="Q269" s="40" t="str">
        <f aca="false">IF($A269="","",IF(LEN(IF($J269="","título, ","")&amp;IF($C269="","responsável, ","")&amp;IF($D269="","tipo, ","")&amp;IF($I269="","canal, ","")&amp;IF($H269="","município, ","")&amp;IF(AND($U269="Sim",$E269=""),"empresa, ","")&amp;IF(AND($U269="Sim",$F269=""),"editor, ","")&amp;IF(AND($K269="Concluído",$N269=""),"data de conclusão, ","")&amp;IF(AND($K269="Concluído",$R269=""),"link, ","")&amp;IF(AND($K269="Concluído",$L269=""),"quem liberou, ",""))=0,"OK","Falta "&amp;LEFT(IF($J269="","título, ","")&amp;IF($C269="","responsável, ","")&amp;IF($D269="","tipo, ","")&amp;IF($I269="","canal, ","")&amp;IF($H269="","município, ","")&amp;IF(AND($U269="Sim",$E269=""),"empresa, ","")&amp;IF(AND($U269="Sim",$F269=""),"editor, ","")&amp;IF(AND($K269="Concluído",$N269=""),"data de conclusão, ","")&amp;IF(AND($K269="Concluído",$R269=""),"link, ","")&amp;IF(AND($K269="Concluído",$L269=""),"quem liberou, ",""),LEN(IF($J269="","título, ","")&amp;IF($C269="","responsável, ","")&amp;IF($D269="","tipo, ","")&amp;IF($I269="","canal, ","")&amp;IF($H269="","município, ","")&amp;IF(AND($U269="Sim",$E269=""),"empresa, ","")&amp;IF(AND($U269="Sim",$F269=""),"editor, ","")&amp;IF(AND($K269="Concluído",$N269=""),"data de conclusão, ","")&amp;IF(AND($K269="Concluído",$R269=""),"link, ","")&amp;IF(AND($K269="Concluído",$L269=""),"quem liberou, ",""))-2)))</f>
        <v/>
      </c>
      <c r="R269" s="38"/>
      <c r="S269" s="38"/>
      <c r="T269" s="38"/>
      <c r="U269" s="40" t="str">
        <f aca="false">IF($A269="","",IFERROR(INDEX(Listas!$E$5:$E$64,MATCH($D269,Listas!$C$5:$C$64,0)),"Não"))</f>
        <v/>
      </c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9" t="str">
        <f aca="false">IF(OR($A270="",$D270=""),"",$A270+IFERROR(INDEX(Listas!$D$5:$D$64,MATCH($D270,Listas!$C$5:$C$64,0)),3))</f>
        <v/>
      </c>
      <c r="N270" s="37"/>
      <c r="O270" s="40" t="str">
        <f aca="false">IF($A270="","",IF($K270="Concluído","Sim","Não"))</f>
        <v/>
      </c>
      <c r="P270" s="40" t="str">
        <f aca="true">IF($A270="","",IF($K270="Stand-by","Stand-by",IF($K270="Concluído","Concluída",IF(AND($M270&lt;&gt;"",$M270&lt;TODAY()),"Atrasada","Em dia"))))</f>
        <v/>
      </c>
      <c r="Q270" s="40" t="str">
        <f aca="false">IF($A270="","",IF(LEN(IF($J270="","título, ","")&amp;IF($C270="","responsável, ","")&amp;IF($D270="","tipo, ","")&amp;IF($I270="","canal, ","")&amp;IF($H270="","município, ","")&amp;IF(AND($U270="Sim",$E270=""),"empresa, ","")&amp;IF(AND($U270="Sim",$F270=""),"editor, ","")&amp;IF(AND($K270="Concluído",$N270=""),"data de conclusão, ","")&amp;IF(AND($K270="Concluído",$R270=""),"link, ","")&amp;IF(AND($K270="Concluído",$L270=""),"quem liberou, ",""))=0,"OK","Falta "&amp;LEFT(IF($J270="","título, ","")&amp;IF($C270="","responsável, ","")&amp;IF($D270="","tipo, ","")&amp;IF($I270="","canal, ","")&amp;IF($H270="","município, ","")&amp;IF(AND($U270="Sim",$E270=""),"empresa, ","")&amp;IF(AND($U270="Sim",$F270=""),"editor, ","")&amp;IF(AND($K270="Concluído",$N270=""),"data de conclusão, ","")&amp;IF(AND($K270="Concluído",$R270=""),"link, ","")&amp;IF(AND($K270="Concluído",$L270=""),"quem liberou, ",""),LEN(IF($J270="","título, ","")&amp;IF($C270="","responsável, ","")&amp;IF($D270="","tipo, ","")&amp;IF($I270="","canal, ","")&amp;IF($H270="","município, ","")&amp;IF(AND($U270="Sim",$E270=""),"empresa, ","")&amp;IF(AND($U270="Sim",$F270=""),"editor, ","")&amp;IF(AND($K270="Concluído",$N270=""),"data de conclusão, ","")&amp;IF(AND($K270="Concluído",$R270=""),"link, ","")&amp;IF(AND($K270="Concluído",$L270=""),"quem liberou, ",""))-2)))</f>
        <v/>
      </c>
      <c r="R270" s="38"/>
      <c r="S270" s="38"/>
      <c r="T270" s="38"/>
      <c r="U270" s="40" t="str">
        <f aca="false">IF($A270="","",IFERROR(INDEX(Listas!$E$5:$E$64,MATCH($D270,Listas!$C$5:$C$64,0)),"Não"))</f>
        <v/>
      </c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9" t="str">
        <f aca="false">IF(OR($A271="",$D271=""),"",$A271+IFERROR(INDEX(Listas!$D$5:$D$64,MATCH($D271,Listas!$C$5:$C$64,0)),3))</f>
        <v/>
      </c>
      <c r="N271" s="37"/>
      <c r="O271" s="40" t="str">
        <f aca="false">IF($A271="","",IF($K271="Concluído","Sim","Não"))</f>
        <v/>
      </c>
      <c r="P271" s="40" t="str">
        <f aca="true">IF($A271="","",IF($K271="Stand-by","Stand-by",IF($K271="Concluído","Concluída",IF(AND($M271&lt;&gt;"",$M271&lt;TODAY()),"Atrasada","Em dia"))))</f>
        <v/>
      </c>
      <c r="Q271" s="40" t="str">
        <f aca="false">IF($A271="","",IF(LEN(IF($J271="","título, ","")&amp;IF($C271="","responsável, ","")&amp;IF($D271="","tipo, ","")&amp;IF($I271="","canal, ","")&amp;IF($H271="","município, ","")&amp;IF(AND($U271="Sim",$E271=""),"empresa, ","")&amp;IF(AND($U271="Sim",$F271=""),"editor, ","")&amp;IF(AND($K271="Concluído",$N271=""),"data de conclusão, ","")&amp;IF(AND($K271="Concluído",$R271=""),"link, ","")&amp;IF(AND($K271="Concluído",$L271=""),"quem liberou, ",""))=0,"OK","Falta "&amp;LEFT(IF($J271="","título, ","")&amp;IF($C271="","responsável, ","")&amp;IF($D271="","tipo, ","")&amp;IF($I271="","canal, ","")&amp;IF($H271="","município, ","")&amp;IF(AND($U271="Sim",$E271=""),"empresa, ","")&amp;IF(AND($U271="Sim",$F271=""),"editor, ","")&amp;IF(AND($K271="Concluído",$N271=""),"data de conclusão, ","")&amp;IF(AND($K271="Concluído",$R271=""),"link, ","")&amp;IF(AND($K271="Concluído",$L271=""),"quem liberou, ",""),LEN(IF($J271="","título, ","")&amp;IF($C271="","responsável, ","")&amp;IF($D271="","tipo, ","")&amp;IF($I271="","canal, ","")&amp;IF($H271="","município, ","")&amp;IF(AND($U271="Sim",$E271=""),"empresa, ","")&amp;IF(AND($U271="Sim",$F271=""),"editor, ","")&amp;IF(AND($K271="Concluído",$N271=""),"data de conclusão, ","")&amp;IF(AND($K271="Concluído",$R271=""),"link, ","")&amp;IF(AND($K271="Concluído",$L271=""),"quem liberou, ",""))-2)))</f>
        <v/>
      </c>
      <c r="R271" s="38"/>
      <c r="S271" s="38"/>
      <c r="T271" s="38"/>
      <c r="U271" s="40" t="str">
        <f aca="false">IF($A271="","",IFERROR(INDEX(Listas!$E$5:$E$64,MATCH($D271,Listas!$C$5:$C$64,0)),"Não"))</f>
        <v/>
      </c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9" t="str">
        <f aca="false">IF(OR($A272="",$D272=""),"",$A272+IFERROR(INDEX(Listas!$D$5:$D$64,MATCH($D272,Listas!$C$5:$C$64,0)),3))</f>
        <v/>
      </c>
      <c r="N272" s="37"/>
      <c r="O272" s="40" t="str">
        <f aca="false">IF($A272="","",IF($K272="Concluído","Sim","Não"))</f>
        <v/>
      </c>
      <c r="P272" s="40" t="str">
        <f aca="true">IF($A272="","",IF($K272="Stand-by","Stand-by",IF($K272="Concluído","Concluída",IF(AND($M272&lt;&gt;"",$M272&lt;TODAY()),"Atrasada","Em dia"))))</f>
        <v/>
      </c>
      <c r="Q272" s="40" t="str">
        <f aca="false">IF($A272="","",IF(LEN(IF($J272="","título, ","")&amp;IF($C272="","responsável, ","")&amp;IF($D272="","tipo, ","")&amp;IF($I272="","canal, ","")&amp;IF($H272="","município, ","")&amp;IF(AND($U272="Sim",$E272=""),"empresa, ","")&amp;IF(AND($U272="Sim",$F272=""),"editor, ","")&amp;IF(AND($K272="Concluído",$N272=""),"data de conclusão, ","")&amp;IF(AND($K272="Concluído",$R272=""),"link, ","")&amp;IF(AND($K272="Concluído",$L272=""),"quem liberou, ",""))=0,"OK","Falta "&amp;LEFT(IF($J272="","título, ","")&amp;IF($C272="","responsável, ","")&amp;IF($D272="","tipo, ","")&amp;IF($I272="","canal, ","")&amp;IF($H272="","município, ","")&amp;IF(AND($U272="Sim",$E272=""),"empresa, ","")&amp;IF(AND($U272="Sim",$F272=""),"editor, ","")&amp;IF(AND($K272="Concluído",$N272=""),"data de conclusão, ","")&amp;IF(AND($K272="Concluído",$R272=""),"link, ","")&amp;IF(AND($K272="Concluído",$L272=""),"quem liberou, ",""),LEN(IF($J272="","título, ","")&amp;IF($C272="","responsável, ","")&amp;IF($D272="","tipo, ","")&amp;IF($I272="","canal, ","")&amp;IF($H272="","município, ","")&amp;IF(AND($U272="Sim",$E272=""),"empresa, ","")&amp;IF(AND($U272="Sim",$F272=""),"editor, ","")&amp;IF(AND($K272="Concluído",$N272=""),"data de conclusão, ","")&amp;IF(AND($K272="Concluído",$R272=""),"link, ","")&amp;IF(AND($K272="Concluído",$L272=""),"quem liberou, ",""))-2)))</f>
        <v/>
      </c>
      <c r="R272" s="38"/>
      <c r="S272" s="38"/>
      <c r="T272" s="38"/>
      <c r="U272" s="40" t="str">
        <f aca="false">IF($A272="","",IFERROR(INDEX(Listas!$E$5:$E$64,MATCH($D272,Listas!$C$5:$C$64,0)),"Não"))</f>
        <v/>
      </c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9" t="str">
        <f aca="false">IF(OR($A273="",$D273=""),"",$A273+IFERROR(INDEX(Listas!$D$5:$D$64,MATCH($D273,Listas!$C$5:$C$64,0)),3))</f>
        <v/>
      </c>
      <c r="N273" s="37"/>
      <c r="O273" s="40" t="str">
        <f aca="false">IF($A273="","",IF($K273="Concluído","Sim","Não"))</f>
        <v/>
      </c>
      <c r="P273" s="40" t="str">
        <f aca="true">IF($A273="","",IF($K273="Stand-by","Stand-by",IF($K273="Concluído","Concluída",IF(AND($M273&lt;&gt;"",$M273&lt;TODAY()),"Atrasada","Em dia"))))</f>
        <v/>
      </c>
      <c r="Q273" s="40" t="str">
        <f aca="false">IF($A273="","",IF(LEN(IF($J273="","título, ","")&amp;IF($C273="","responsável, ","")&amp;IF($D273="","tipo, ","")&amp;IF($I273="","canal, ","")&amp;IF($H273="","município, ","")&amp;IF(AND($U273="Sim",$E273=""),"empresa, ","")&amp;IF(AND($U273="Sim",$F273=""),"editor, ","")&amp;IF(AND($K273="Concluído",$N273=""),"data de conclusão, ","")&amp;IF(AND($K273="Concluído",$R273=""),"link, ","")&amp;IF(AND($K273="Concluído",$L273=""),"quem liberou, ",""))=0,"OK","Falta "&amp;LEFT(IF($J273="","título, ","")&amp;IF($C273="","responsável, ","")&amp;IF($D273="","tipo, ","")&amp;IF($I273="","canal, ","")&amp;IF($H273="","município, ","")&amp;IF(AND($U273="Sim",$E273=""),"empresa, ","")&amp;IF(AND($U273="Sim",$F273=""),"editor, ","")&amp;IF(AND($K273="Concluído",$N273=""),"data de conclusão, ","")&amp;IF(AND($K273="Concluído",$R273=""),"link, ","")&amp;IF(AND($K273="Concluído",$L273=""),"quem liberou, ",""),LEN(IF($J273="","título, ","")&amp;IF($C273="","responsável, ","")&amp;IF($D273="","tipo, ","")&amp;IF($I273="","canal, ","")&amp;IF($H273="","município, ","")&amp;IF(AND($U273="Sim",$E273=""),"empresa, ","")&amp;IF(AND($U273="Sim",$F273=""),"editor, ","")&amp;IF(AND($K273="Concluído",$N273=""),"data de conclusão, ","")&amp;IF(AND($K273="Concluído",$R273=""),"link, ","")&amp;IF(AND($K273="Concluído",$L273=""),"quem liberou, ",""))-2)))</f>
        <v/>
      </c>
      <c r="R273" s="38"/>
      <c r="S273" s="38"/>
      <c r="T273" s="38"/>
      <c r="U273" s="40" t="str">
        <f aca="false">IF($A273="","",IFERROR(INDEX(Listas!$E$5:$E$64,MATCH($D273,Listas!$C$5:$C$64,0)),"Não"))</f>
        <v/>
      </c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9" t="str">
        <f aca="false">IF(OR($A274="",$D274=""),"",$A274+IFERROR(INDEX(Listas!$D$5:$D$64,MATCH($D274,Listas!$C$5:$C$64,0)),3))</f>
        <v/>
      </c>
      <c r="N274" s="37"/>
      <c r="O274" s="40" t="str">
        <f aca="false">IF($A274="","",IF($K274="Concluído","Sim","Não"))</f>
        <v/>
      </c>
      <c r="P274" s="40" t="str">
        <f aca="true">IF($A274="","",IF($K274="Stand-by","Stand-by",IF($K274="Concluído","Concluída",IF(AND($M274&lt;&gt;"",$M274&lt;TODAY()),"Atrasada","Em dia"))))</f>
        <v/>
      </c>
      <c r="Q274" s="40" t="str">
        <f aca="false">IF($A274="","",IF(LEN(IF($J274="","título, ","")&amp;IF($C274="","responsável, ","")&amp;IF($D274="","tipo, ","")&amp;IF($I274="","canal, ","")&amp;IF($H274="","município, ","")&amp;IF(AND($U274="Sim",$E274=""),"empresa, ","")&amp;IF(AND($U274="Sim",$F274=""),"editor, ","")&amp;IF(AND($K274="Concluído",$N274=""),"data de conclusão, ","")&amp;IF(AND($K274="Concluído",$R274=""),"link, ","")&amp;IF(AND($K274="Concluído",$L274=""),"quem liberou, ",""))=0,"OK","Falta "&amp;LEFT(IF($J274="","título, ","")&amp;IF($C274="","responsável, ","")&amp;IF($D274="","tipo, ","")&amp;IF($I274="","canal, ","")&amp;IF($H274="","município, ","")&amp;IF(AND($U274="Sim",$E274=""),"empresa, ","")&amp;IF(AND($U274="Sim",$F274=""),"editor, ","")&amp;IF(AND($K274="Concluído",$N274=""),"data de conclusão, ","")&amp;IF(AND($K274="Concluído",$R274=""),"link, ","")&amp;IF(AND($K274="Concluído",$L274=""),"quem liberou, ",""),LEN(IF($J274="","título, ","")&amp;IF($C274="","responsável, ","")&amp;IF($D274="","tipo, ","")&amp;IF($I274="","canal, ","")&amp;IF($H274="","município, ","")&amp;IF(AND($U274="Sim",$E274=""),"empresa, ","")&amp;IF(AND($U274="Sim",$F274=""),"editor, ","")&amp;IF(AND($K274="Concluído",$N274=""),"data de conclusão, ","")&amp;IF(AND($K274="Concluído",$R274=""),"link, ","")&amp;IF(AND($K274="Concluído",$L274=""),"quem liberou, ",""))-2)))</f>
        <v/>
      </c>
      <c r="R274" s="38"/>
      <c r="S274" s="38"/>
      <c r="T274" s="38"/>
      <c r="U274" s="40" t="str">
        <f aca="false">IF($A274="","",IFERROR(INDEX(Listas!$E$5:$E$64,MATCH($D274,Listas!$C$5:$C$64,0)),"Não"))</f>
        <v/>
      </c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9" t="str">
        <f aca="false">IF(OR($A275="",$D275=""),"",$A275+IFERROR(INDEX(Listas!$D$5:$D$64,MATCH($D275,Listas!$C$5:$C$64,0)),3))</f>
        <v/>
      </c>
      <c r="N275" s="37"/>
      <c r="O275" s="40" t="str">
        <f aca="false">IF($A275="","",IF($K275="Concluído","Sim","Não"))</f>
        <v/>
      </c>
      <c r="P275" s="40" t="str">
        <f aca="true">IF($A275="","",IF($K275="Stand-by","Stand-by",IF($K275="Concluído","Concluída",IF(AND($M275&lt;&gt;"",$M275&lt;TODAY()),"Atrasada","Em dia"))))</f>
        <v/>
      </c>
      <c r="Q275" s="40" t="str">
        <f aca="false">IF($A275="","",IF(LEN(IF($J275="","título, ","")&amp;IF($C275="","responsável, ","")&amp;IF($D275="","tipo, ","")&amp;IF($I275="","canal, ","")&amp;IF($H275="","município, ","")&amp;IF(AND($U275="Sim",$E275=""),"empresa, ","")&amp;IF(AND($U275="Sim",$F275=""),"editor, ","")&amp;IF(AND($K275="Concluído",$N275=""),"data de conclusão, ","")&amp;IF(AND($K275="Concluído",$R275=""),"link, ","")&amp;IF(AND($K275="Concluído",$L275=""),"quem liberou, ",""))=0,"OK","Falta "&amp;LEFT(IF($J275="","título, ","")&amp;IF($C275="","responsável, ","")&amp;IF($D275="","tipo, ","")&amp;IF($I275="","canal, ","")&amp;IF($H275="","município, ","")&amp;IF(AND($U275="Sim",$E275=""),"empresa, ","")&amp;IF(AND($U275="Sim",$F275=""),"editor, ","")&amp;IF(AND($K275="Concluído",$N275=""),"data de conclusão, ","")&amp;IF(AND($K275="Concluído",$R275=""),"link, ","")&amp;IF(AND($K275="Concluído",$L275=""),"quem liberou, ",""),LEN(IF($J275="","título, ","")&amp;IF($C275="","responsável, ","")&amp;IF($D275="","tipo, ","")&amp;IF($I275="","canal, ","")&amp;IF($H275="","município, ","")&amp;IF(AND($U275="Sim",$E275=""),"empresa, ","")&amp;IF(AND($U275="Sim",$F275=""),"editor, ","")&amp;IF(AND($K275="Concluído",$N275=""),"data de conclusão, ","")&amp;IF(AND($K275="Concluído",$R275=""),"link, ","")&amp;IF(AND($K275="Concluído",$L275=""),"quem liberou, ",""))-2)))</f>
        <v/>
      </c>
      <c r="R275" s="38"/>
      <c r="S275" s="38"/>
      <c r="T275" s="38"/>
      <c r="U275" s="40" t="str">
        <f aca="false">IF($A275="","",IFERROR(INDEX(Listas!$E$5:$E$64,MATCH($D275,Listas!$C$5:$C$64,0)),"Não"))</f>
        <v/>
      </c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9" t="str">
        <f aca="false">IF(OR($A276="",$D276=""),"",$A276+IFERROR(INDEX(Listas!$D$5:$D$64,MATCH($D276,Listas!$C$5:$C$64,0)),3))</f>
        <v/>
      </c>
      <c r="N276" s="37"/>
      <c r="O276" s="40" t="str">
        <f aca="false">IF($A276="","",IF($K276="Concluído","Sim","Não"))</f>
        <v/>
      </c>
      <c r="P276" s="40" t="str">
        <f aca="true">IF($A276="","",IF($K276="Stand-by","Stand-by",IF($K276="Concluído","Concluída",IF(AND($M276&lt;&gt;"",$M276&lt;TODAY()),"Atrasada","Em dia"))))</f>
        <v/>
      </c>
      <c r="Q276" s="40" t="str">
        <f aca="false">IF($A276="","",IF(LEN(IF($J276="","título, ","")&amp;IF($C276="","responsável, ","")&amp;IF($D276="","tipo, ","")&amp;IF($I276="","canal, ","")&amp;IF($H276="","município, ","")&amp;IF(AND($U276="Sim",$E276=""),"empresa, ","")&amp;IF(AND($U276="Sim",$F276=""),"editor, ","")&amp;IF(AND($K276="Concluído",$N276=""),"data de conclusão, ","")&amp;IF(AND($K276="Concluído",$R276=""),"link, ","")&amp;IF(AND($K276="Concluído",$L276=""),"quem liberou, ",""))=0,"OK","Falta "&amp;LEFT(IF($J276="","título, ","")&amp;IF($C276="","responsável, ","")&amp;IF($D276="","tipo, ","")&amp;IF($I276="","canal, ","")&amp;IF($H276="","município, ","")&amp;IF(AND($U276="Sim",$E276=""),"empresa, ","")&amp;IF(AND($U276="Sim",$F276=""),"editor, ","")&amp;IF(AND($K276="Concluído",$N276=""),"data de conclusão, ","")&amp;IF(AND($K276="Concluído",$R276=""),"link, ","")&amp;IF(AND($K276="Concluído",$L276=""),"quem liberou, ",""),LEN(IF($J276="","título, ","")&amp;IF($C276="","responsável, ","")&amp;IF($D276="","tipo, ","")&amp;IF($I276="","canal, ","")&amp;IF($H276="","município, ","")&amp;IF(AND($U276="Sim",$E276=""),"empresa, ","")&amp;IF(AND($U276="Sim",$F276=""),"editor, ","")&amp;IF(AND($K276="Concluído",$N276=""),"data de conclusão, ","")&amp;IF(AND($K276="Concluído",$R276=""),"link, ","")&amp;IF(AND($K276="Concluído",$L276=""),"quem liberou, ",""))-2)))</f>
        <v/>
      </c>
      <c r="R276" s="38"/>
      <c r="S276" s="38"/>
      <c r="T276" s="38"/>
      <c r="U276" s="40" t="str">
        <f aca="false">IF($A276="","",IFERROR(INDEX(Listas!$E$5:$E$64,MATCH($D276,Listas!$C$5:$C$64,0)),"Não"))</f>
        <v/>
      </c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9" t="str">
        <f aca="false">IF(OR($A277="",$D277=""),"",$A277+IFERROR(INDEX(Listas!$D$5:$D$64,MATCH($D277,Listas!$C$5:$C$64,0)),3))</f>
        <v/>
      </c>
      <c r="N277" s="37"/>
      <c r="O277" s="40" t="str">
        <f aca="false">IF($A277="","",IF($K277="Concluído","Sim","Não"))</f>
        <v/>
      </c>
      <c r="P277" s="40" t="str">
        <f aca="true">IF($A277="","",IF($K277="Stand-by","Stand-by",IF($K277="Concluído","Concluída",IF(AND($M277&lt;&gt;"",$M277&lt;TODAY()),"Atrasada","Em dia"))))</f>
        <v/>
      </c>
      <c r="Q277" s="40" t="str">
        <f aca="false">IF($A277="","",IF(LEN(IF($J277="","título, ","")&amp;IF($C277="","responsável, ","")&amp;IF($D277="","tipo, ","")&amp;IF($I277="","canal, ","")&amp;IF($H277="","município, ","")&amp;IF(AND($U277="Sim",$E277=""),"empresa, ","")&amp;IF(AND($U277="Sim",$F277=""),"editor, ","")&amp;IF(AND($K277="Concluído",$N277=""),"data de conclusão, ","")&amp;IF(AND($K277="Concluído",$R277=""),"link, ","")&amp;IF(AND($K277="Concluído",$L277=""),"quem liberou, ",""))=0,"OK","Falta "&amp;LEFT(IF($J277="","título, ","")&amp;IF($C277="","responsável, ","")&amp;IF($D277="","tipo, ","")&amp;IF($I277="","canal, ","")&amp;IF($H277="","município, ","")&amp;IF(AND($U277="Sim",$E277=""),"empresa, ","")&amp;IF(AND($U277="Sim",$F277=""),"editor, ","")&amp;IF(AND($K277="Concluído",$N277=""),"data de conclusão, ","")&amp;IF(AND($K277="Concluído",$R277=""),"link, ","")&amp;IF(AND($K277="Concluído",$L277=""),"quem liberou, ",""),LEN(IF($J277="","título, ","")&amp;IF($C277="","responsável, ","")&amp;IF($D277="","tipo, ","")&amp;IF($I277="","canal, ","")&amp;IF($H277="","município, ","")&amp;IF(AND($U277="Sim",$E277=""),"empresa, ","")&amp;IF(AND($U277="Sim",$F277=""),"editor, ","")&amp;IF(AND($K277="Concluído",$N277=""),"data de conclusão, ","")&amp;IF(AND($K277="Concluído",$R277=""),"link, ","")&amp;IF(AND($K277="Concluído",$L277=""),"quem liberou, ",""))-2)))</f>
        <v/>
      </c>
      <c r="R277" s="38"/>
      <c r="S277" s="38"/>
      <c r="T277" s="38"/>
      <c r="U277" s="40" t="str">
        <f aca="false">IF($A277="","",IFERROR(INDEX(Listas!$E$5:$E$64,MATCH($D277,Listas!$C$5:$C$64,0)),"Não"))</f>
        <v/>
      </c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9" t="str">
        <f aca="false">IF(OR($A278="",$D278=""),"",$A278+IFERROR(INDEX(Listas!$D$5:$D$64,MATCH($D278,Listas!$C$5:$C$64,0)),3))</f>
        <v/>
      </c>
      <c r="N278" s="37"/>
      <c r="O278" s="40" t="str">
        <f aca="false">IF($A278="","",IF($K278="Concluído","Sim","Não"))</f>
        <v/>
      </c>
      <c r="P278" s="40" t="str">
        <f aca="true">IF($A278="","",IF($K278="Stand-by","Stand-by",IF($K278="Concluído","Concluída",IF(AND($M278&lt;&gt;"",$M278&lt;TODAY()),"Atrasada","Em dia"))))</f>
        <v/>
      </c>
      <c r="Q278" s="40" t="str">
        <f aca="false">IF($A278="","",IF(LEN(IF($J278="","título, ","")&amp;IF($C278="","responsável, ","")&amp;IF($D278="","tipo, ","")&amp;IF($I278="","canal, ","")&amp;IF($H278="","município, ","")&amp;IF(AND($U278="Sim",$E278=""),"empresa, ","")&amp;IF(AND($U278="Sim",$F278=""),"editor, ","")&amp;IF(AND($K278="Concluído",$N278=""),"data de conclusão, ","")&amp;IF(AND($K278="Concluído",$R278=""),"link, ","")&amp;IF(AND($K278="Concluído",$L278=""),"quem liberou, ",""))=0,"OK","Falta "&amp;LEFT(IF($J278="","título, ","")&amp;IF($C278="","responsável, ","")&amp;IF($D278="","tipo, ","")&amp;IF($I278="","canal, ","")&amp;IF($H278="","município, ","")&amp;IF(AND($U278="Sim",$E278=""),"empresa, ","")&amp;IF(AND($U278="Sim",$F278=""),"editor, ","")&amp;IF(AND($K278="Concluído",$N278=""),"data de conclusão, ","")&amp;IF(AND($K278="Concluído",$R278=""),"link, ","")&amp;IF(AND($K278="Concluído",$L278=""),"quem liberou, ",""),LEN(IF($J278="","título, ","")&amp;IF($C278="","responsável, ","")&amp;IF($D278="","tipo, ","")&amp;IF($I278="","canal, ","")&amp;IF($H278="","município, ","")&amp;IF(AND($U278="Sim",$E278=""),"empresa, ","")&amp;IF(AND($U278="Sim",$F278=""),"editor, ","")&amp;IF(AND($K278="Concluído",$N278=""),"data de conclusão, ","")&amp;IF(AND($K278="Concluído",$R278=""),"link, ","")&amp;IF(AND($K278="Concluído",$L278=""),"quem liberou, ",""))-2)))</f>
        <v/>
      </c>
      <c r="R278" s="38"/>
      <c r="S278" s="38"/>
      <c r="T278" s="38"/>
      <c r="U278" s="40" t="str">
        <f aca="false">IF($A278="","",IFERROR(INDEX(Listas!$E$5:$E$64,MATCH($D278,Listas!$C$5:$C$64,0)),"Não"))</f>
        <v/>
      </c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9" t="str">
        <f aca="false">IF(OR($A279="",$D279=""),"",$A279+IFERROR(INDEX(Listas!$D$5:$D$64,MATCH($D279,Listas!$C$5:$C$64,0)),3))</f>
        <v/>
      </c>
      <c r="N279" s="37"/>
      <c r="O279" s="40" t="str">
        <f aca="false">IF($A279="","",IF($K279="Concluído","Sim","Não"))</f>
        <v/>
      </c>
      <c r="P279" s="40" t="str">
        <f aca="true">IF($A279="","",IF($K279="Stand-by","Stand-by",IF($K279="Concluído","Concluída",IF(AND($M279&lt;&gt;"",$M279&lt;TODAY()),"Atrasada","Em dia"))))</f>
        <v/>
      </c>
      <c r="Q279" s="40" t="str">
        <f aca="false">IF($A279="","",IF(LEN(IF($J279="","título, ","")&amp;IF($C279="","responsável, ","")&amp;IF($D279="","tipo, ","")&amp;IF($I279="","canal, ","")&amp;IF($H279="","município, ","")&amp;IF(AND($U279="Sim",$E279=""),"empresa, ","")&amp;IF(AND($U279="Sim",$F279=""),"editor, ","")&amp;IF(AND($K279="Concluído",$N279=""),"data de conclusão, ","")&amp;IF(AND($K279="Concluído",$R279=""),"link, ","")&amp;IF(AND($K279="Concluído",$L279=""),"quem liberou, ",""))=0,"OK","Falta "&amp;LEFT(IF($J279="","título, ","")&amp;IF($C279="","responsável, ","")&amp;IF($D279="","tipo, ","")&amp;IF($I279="","canal, ","")&amp;IF($H279="","município, ","")&amp;IF(AND($U279="Sim",$E279=""),"empresa, ","")&amp;IF(AND($U279="Sim",$F279=""),"editor, ","")&amp;IF(AND($K279="Concluído",$N279=""),"data de conclusão, ","")&amp;IF(AND($K279="Concluído",$R279=""),"link, ","")&amp;IF(AND($K279="Concluído",$L279=""),"quem liberou, ",""),LEN(IF($J279="","título, ","")&amp;IF($C279="","responsável, ","")&amp;IF($D279="","tipo, ","")&amp;IF($I279="","canal, ","")&amp;IF($H279="","município, ","")&amp;IF(AND($U279="Sim",$E279=""),"empresa, ","")&amp;IF(AND($U279="Sim",$F279=""),"editor, ","")&amp;IF(AND($K279="Concluído",$N279=""),"data de conclusão, ","")&amp;IF(AND($K279="Concluído",$R279=""),"link, ","")&amp;IF(AND($K279="Concluído",$L279=""),"quem liberou, ",""))-2)))</f>
        <v/>
      </c>
      <c r="R279" s="38"/>
      <c r="S279" s="38"/>
      <c r="T279" s="38"/>
      <c r="U279" s="40" t="str">
        <f aca="false">IF($A279="","",IFERROR(INDEX(Listas!$E$5:$E$64,MATCH($D279,Listas!$C$5:$C$64,0)),"Não"))</f>
        <v/>
      </c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9" t="str">
        <f aca="false">IF(OR($A280="",$D280=""),"",$A280+IFERROR(INDEX(Listas!$D$5:$D$64,MATCH($D280,Listas!$C$5:$C$64,0)),3))</f>
        <v/>
      </c>
      <c r="N280" s="37"/>
      <c r="O280" s="40" t="str">
        <f aca="false">IF($A280="","",IF($K280="Concluído","Sim","Não"))</f>
        <v/>
      </c>
      <c r="P280" s="40" t="str">
        <f aca="true">IF($A280="","",IF($K280="Stand-by","Stand-by",IF($K280="Concluído","Concluída",IF(AND($M280&lt;&gt;"",$M280&lt;TODAY()),"Atrasada","Em dia"))))</f>
        <v/>
      </c>
      <c r="Q280" s="40" t="str">
        <f aca="false">IF($A280="","",IF(LEN(IF($J280="","título, ","")&amp;IF($C280="","responsável, ","")&amp;IF($D280="","tipo, ","")&amp;IF($I280="","canal, ","")&amp;IF($H280="","município, ","")&amp;IF(AND($U280="Sim",$E280=""),"empresa, ","")&amp;IF(AND($U280="Sim",$F280=""),"editor, ","")&amp;IF(AND($K280="Concluído",$N280=""),"data de conclusão, ","")&amp;IF(AND($K280="Concluído",$R280=""),"link, ","")&amp;IF(AND($K280="Concluído",$L280=""),"quem liberou, ",""))=0,"OK","Falta "&amp;LEFT(IF($J280="","título, ","")&amp;IF($C280="","responsável, ","")&amp;IF($D280="","tipo, ","")&amp;IF($I280="","canal, ","")&amp;IF($H280="","município, ","")&amp;IF(AND($U280="Sim",$E280=""),"empresa, ","")&amp;IF(AND($U280="Sim",$F280=""),"editor, ","")&amp;IF(AND($K280="Concluído",$N280=""),"data de conclusão, ","")&amp;IF(AND($K280="Concluído",$R280=""),"link, ","")&amp;IF(AND($K280="Concluído",$L280=""),"quem liberou, ",""),LEN(IF($J280="","título, ","")&amp;IF($C280="","responsável, ","")&amp;IF($D280="","tipo, ","")&amp;IF($I280="","canal, ","")&amp;IF($H280="","município, ","")&amp;IF(AND($U280="Sim",$E280=""),"empresa, ","")&amp;IF(AND($U280="Sim",$F280=""),"editor, ","")&amp;IF(AND($K280="Concluído",$N280=""),"data de conclusão, ","")&amp;IF(AND($K280="Concluído",$R280=""),"link, ","")&amp;IF(AND($K280="Concluído",$L280=""),"quem liberou, ",""))-2)))</f>
        <v/>
      </c>
      <c r="R280" s="38"/>
      <c r="S280" s="38"/>
      <c r="T280" s="38"/>
      <c r="U280" s="40" t="str">
        <f aca="false">IF($A280="","",IFERROR(INDEX(Listas!$E$5:$E$64,MATCH($D280,Listas!$C$5:$C$64,0)),"Não"))</f>
        <v/>
      </c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9" t="str">
        <f aca="false">IF(OR($A281="",$D281=""),"",$A281+IFERROR(INDEX(Listas!$D$5:$D$64,MATCH($D281,Listas!$C$5:$C$64,0)),3))</f>
        <v/>
      </c>
      <c r="N281" s="37"/>
      <c r="O281" s="40" t="str">
        <f aca="false">IF($A281="","",IF($K281="Concluído","Sim","Não"))</f>
        <v/>
      </c>
      <c r="P281" s="40" t="str">
        <f aca="true">IF($A281="","",IF($K281="Stand-by","Stand-by",IF($K281="Concluído","Concluída",IF(AND($M281&lt;&gt;"",$M281&lt;TODAY()),"Atrasada","Em dia"))))</f>
        <v/>
      </c>
      <c r="Q281" s="40" t="str">
        <f aca="false">IF($A281="","",IF(LEN(IF($J281="","título, ","")&amp;IF($C281="","responsável, ","")&amp;IF($D281="","tipo, ","")&amp;IF($I281="","canal, ","")&amp;IF($H281="","município, ","")&amp;IF(AND($U281="Sim",$E281=""),"empresa, ","")&amp;IF(AND($U281="Sim",$F281=""),"editor, ","")&amp;IF(AND($K281="Concluído",$N281=""),"data de conclusão, ","")&amp;IF(AND($K281="Concluído",$R281=""),"link, ","")&amp;IF(AND($K281="Concluído",$L281=""),"quem liberou, ",""))=0,"OK","Falta "&amp;LEFT(IF($J281="","título, ","")&amp;IF($C281="","responsável, ","")&amp;IF($D281="","tipo, ","")&amp;IF($I281="","canal, ","")&amp;IF($H281="","município, ","")&amp;IF(AND($U281="Sim",$E281=""),"empresa, ","")&amp;IF(AND($U281="Sim",$F281=""),"editor, ","")&amp;IF(AND($K281="Concluído",$N281=""),"data de conclusão, ","")&amp;IF(AND($K281="Concluído",$R281=""),"link, ","")&amp;IF(AND($K281="Concluído",$L281=""),"quem liberou, ",""),LEN(IF($J281="","título, ","")&amp;IF($C281="","responsável, ","")&amp;IF($D281="","tipo, ","")&amp;IF($I281="","canal, ","")&amp;IF($H281="","município, ","")&amp;IF(AND($U281="Sim",$E281=""),"empresa, ","")&amp;IF(AND($U281="Sim",$F281=""),"editor, ","")&amp;IF(AND($K281="Concluído",$N281=""),"data de conclusão, ","")&amp;IF(AND($K281="Concluído",$R281=""),"link, ","")&amp;IF(AND($K281="Concluído",$L281=""),"quem liberou, ",""))-2)))</f>
        <v/>
      </c>
      <c r="R281" s="38"/>
      <c r="S281" s="38"/>
      <c r="T281" s="38"/>
      <c r="U281" s="40" t="str">
        <f aca="false">IF($A281="","",IFERROR(INDEX(Listas!$E$5:$E$64,MATCH($D281,Listas!$C$5:$C$64,0)),"Não"))</f>
        <v/>
      </c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9" t="str">
        <f aca="false">IF(OR($A282="",$D282=""),"",$A282+IFERROR(INDEX(Listas!$D$5:$D$64,MATCH($D282,Listas!$C$5:$C$64,0)),3))</f>
        <v/>
      </c>
      <c r="N282" s="37"/>
      <c r="O282" s="40" t="str">
        <f aca="false">IF($A282="","",IF($K282="Concluído","Sim","Não"))</f>
        <v/>
      </c>
      <c r="P282" s="40" t="str">
        <f aca="true">IF($A282="","",IF($K282="Stand-by","Stand-by",IF($K282="Concluído","Concluída",IF(AND($M282&lt;&gt;"",$M282&lt;TODAY()),"Atrasada","Em dia"))))</f>
        <v/>
      </c>
      <c r="Q282" s="40" t="str">
        <f aca="false">IF($A282="","",IF(LEN(IF($J282="","título, ","")&amp;IF($C282="","responsável, ","")&amp;IF($D282="","tipo, ","")&amp;IF($I282="","canal, ","")&amp;IF($H282="","município, ","")&amp;IF(AND($U282="Sim",$E282=""),"empresa, ","")&amp;IF(AND($U282="Sim",$F282=""),"editor, ","")&amp;IF(AND($K282="Concluído",$N282=""),"data de conclusão, ","")&amp;IF(AND($K282="Concluído",$R282=""),"link, ","")&amp;IF(AND($K282="Concluído",$L282=""),"quem liberou, ",""))=0,"OK","Falta "&amp;LEFT(IF($J282="","título, ","")&amp;IF($C282="","responsável, ","")&amp;IF($D282="","tipo, ","")&amp;IF($I282="","canal, ","")&amp;IF($H282="","município, ","")&amp;IF(AND($U282="Sim",$E282=""),"empresa, ","")&amp;IF(AND($U282="Sim",$F282=""),"editor, ","")&amp;IF(AND($K282="Concluído",$N282=""),"data de conclusão, ","")&amp;IF(AND($K282="Concluído",$R282=""),"link, ","")&amp;IF(AND($K282="Concluído",$L282=""),"quem liberou, ",""),LEN(IF($J282="","título, ","")&amp;IF($C282="","responsável, ","")&amp;IF($D282="","tipo, ","")&amp;IF($I282="","canal, ","")&amp;IF($H282="","município, ","")&amp;IF(AND($U282="Sim",$E282=""),"empresa, ","")&amp;IF(AND($U282="Sim",$F282=""),"editor, ","")&amp;IF(AND($K282="Concluído",$N282=""),"data de conclusão, ","")&amp;IF(AND($K282="Concluído",$R282=""),"link, ","")&amp;IF(AND($K282="Concluído",$L282=""),"quem liberou, ",""))-2)))</f>
        <v/>
      </c>
      <c r="R282" s="38"/>
      <c r="S282" s="38"/>
      <c r="T282" s="38"/>
      <c r="U282" s="40" t="str">
        <f aca="false">IF($A282="","",IFERROR(INDEX(Listas!$E$5:$E$64,MATCH($D282,Listas!$C$5:$C$64,0)),"Não"))</f>
        <v/>
      </c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9" t="str">
        <f aca="false">IF(OR($A283="",$D283=""),"",$A283+IFERROR(INDEX(Listas!$D$5:$D$64,MATCH($D283,Listas!$C$5:$C$64,0)),3))</f>
        <v/>
      </c>
      <c r="N283" s="37"/>
      <c r="O283" s="40" t="str">
        <f aca="false">IF($A283="","",IF($K283="Concluído","Sim","Não"))</f>
        <v/>
      </c>
      <c r="P283" s="40" t="str">
        <f aca="true">IF($A283="","",IF($K283="Stand-by","Stand-by",IF($K283="Concluído","Concluída",IF(AND($M283&lt;&gt;"",$M283&lt;TODAY()),"Atrasada","Em dia"))))</f>
        <v/>
      </c>
      <c r="Q283" s="40" t="str">
        <f aca="false">IF($A283="","",IF(LEN(IF($J283="","título, ","")&amp;IF($C283="","responsável, ","")&amp;IF($D283="","tipo, ","")&amp;IF($I283="","canal, ","")&amp;IF($H283="","município, ","")&amp;IF(AND($U283="Sim",$E283=""),"empresa, ","")&amp;IF(AND($U283="Sim",$F283=""),"editor, ","")&amp;IF(AND($K283="Concluído",$N283=""),"data de conclusão, ","")&amp;IF(AND($K283="Concluído",$R283=""),"link, ","")&amp;IF(AND($K283="Concluído",$L283=""),"quem liberou, ",""))=0,"OK","Falta "&amp;LEFT(IF($J283="","título, ","")&amp;IF($C283="","responsável, ","")&amp;IF($D283="","tipo, ","")&amp;IF($I283="","canal, ","")&amp;IF($H283="","município, ","")&amp;IF(AND($U283="Sim",$E283=""),"empresa, ","")&amp;IF(AND($U283="Sim",$F283=""),"editor, ","")&amp;IF(AND($K283="Concluído",$N283=""),"data de conclusão, ","")&amp;IF(AND($K283="Concluído",$R283=""),"link, ","")&amp;IF(AND($K283="Concluído",$L283=""),"quem liberou, ",""),LEN(IF($J283="","título, ","")&amp;IF($C283="","responsável, ","")&amp;IF($D283="","tipo, ","")&amp;IF($I283="","canal, ","")&amp;IF($H283="","município, ","")&amp;IF(AND($U283="Sim",$E283=""),"empresa, ","")&amp;IF(AND($U283="Sim",$F283=""),"editor, ","")&amp;IF(AND($K283="Concluído",$N283=""),"data de conclusão, ","")&amp;IF(AND($K283="Concluído",$R283=""),"link, ","")&amp;IF(AND($K283="Concluído",$L283=""),"quem liberou, ",""))-2)))</f>
        <v/>
      </c>
      <c r="R283" s="38"/>
      <c r="S283" s="38"/>
      <c r="T283" s="38"/>
      <c r="U283" s="40" t="str">
        <f aca="false">IF($A283="","",IFERROR(INDEX(Listas!$E$5:$E$64,MATCH($D283,Listas!$C$5:$C$64,0)),"Não"))</f>
        <v/>
      </c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9" t="str">
        <f aca="false">IF(OR($A284="",$D284=""),"",$A284+IFERROR(INDEX(Listas!$D$5:$D$64,MATCH($D284,Listas!$C$5:$C$64,0)),3))</f>
        <v/>
      </c>
      <c r="N284" s="37"/>
      <c r="O284" s="40" t="str">
        <f aca="false">IF($A284="","",IF($K284="Concluído","Sim","Não"))</f>
        <v/>
      </c>
      <c r="P284" s="40" t="str">
        <f aca="true">IF($A284="","",IF($K284="Stand-by","Stand-by",IF($K284="Concluído","Concluída",IF(AND($M284&lt;&gt;"",$M284&lt;TODAY()),"Atrasada","Em dia"))))</f>
        <v/>
      </c>
      <c r="Q284" s="40" t="str">
        <f aca="false">IF($A284="","",IF(LEN(IF($J284="","título, ","")&amp;IF($C284="","responsável, ","")&amp;IF($D284="","tipo, ","")&amp;IF($I284="","canal, ","")&amp;IF($H284="","município, ","")&amp;IF(AND($U284="Sim",$E284=""),"empresa, ","")&amp;IF(AND($U284="Sim",$F284=""),"editor, ","")&amp;IF(AND($K284="Concluído",$N284=""),"data de conclusão, ","")&amp;IF(AND($K284="Concluído",$R284=""),"link, ","")&amp;IF(AND($K284="Concluído",$L284=""),"quem liberou, ",""))=0,"OK","Falta "&amp;LEFT(IF($J284="","título, ","")&amp;IF($C284="","responsável, ","")&amp;IF($D284="","tipo, ","")&amp;IF($I284="","canal, ","")&amp;IF($H284="","município, ","")&amp;IF(AND($U284="Sim",$E284=""),"empresa, ","")&amp;IF(AND($U284="Sim",$F284=""),"editor, ","")&amp;IF(AND($K284="Concluído",$N284=""),"data de conclusão, ","")&amp;IF(AND($K284="Concluído",$R284=""),"link, ","")&amp;IF(AND($K284="Concluído",$L284=""),"quem liberou, ",""),LEN(IF($J284="","título, ","")&amp;IF($C284="","responsável, ","")&amp;IF($D284="","tipo, ","")&amp;IF($I284="","canal, ","")&amp;IF($H284="","município, ","")&amp;IF(AND($U284="Sim",$E284=""),"empresa, ","")&amp;IF(AND($U284="Sim",$F284=""),"editor, ","")&amp;IF(AND($K284="Concluído",$N284=""),"data de conclusão, ","")&amp;IF(AND($K284="Concluído",$R284=""),"link, ","")&amp;IF(AND($K284="Concluído",$L284=""),"quem liberou, ",""))-2)))</f>
        <v/>
      </c>
      <c r="R284" s="38"/>
      <c r="S284" s="38"/>
      <c r="T284" s="38"/>
      <c r="U284" s="40" t="str">
        <f aca="false">IF($A284="","",IFERROR(INDEX(Listas!$E$5:$E$64,MATCH($D284,Listas!$C$5:$C$64,0)),"Não"))</f>
        <v/>
      </c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9" t="str">
        <f aca="false">IF(OR($A285="",$D285=""),"",$A285+IFERROR(INDEX(Listas!$D$5:$D$64,MATCH($D285,Listas!$C$5:$C$64,0)),3))</f>
        <v/>
      </c>
      <c r="N285" s="37"/>
      <c r="O285" s="40" t="str">
        <f aca="false">IF($A285="","",IF($K285="Concluído","Sim","Não"))</f>
        <v/>
      </c>
      <c r="P285" s="40" t="str">
        <f aca="true">IF($A285="","",IF($K285="Stand-by","Stand-by",IF($K285="Concluído","Concluída",IF(AND($M285&lt;&gt;"",$M285&lt;TODAY()),"Atrasada","Em dia"))))</f>
        <v/>
      </c>
      <c r="Q285" s="40" t="str">
        <f aca="false">IF($A285="","",IF(LEN(IF($J285="","título, ","")&amp;IF($C285="","responsável, ","")&amp;IF($D285="","tipo, ","")&amp;IF($I285="","canal, ","")&amp;IF($H285="","município, ","")&amp;IF(AND($U285="Sim",$E285=""),"empresa, ","")&amp;IF(AND($U285="Sim",$F285=""),"editor, ","")&amp;IF(AND($K285="Concluído",$N285=""),"data de conclusão, ","")&amp;IF(AND($K285="Concluído",$R285=""),"link, ","")&amp;IF(AND($K285="Concluído",$L285=""),"quem liberou, ",""))=0,"OK","Falta "&amp;LEFT(IF($J285="","título, ","")&amp;IF($C285="","responsável, ","")&amp;IF($D285="","tipo, ","")&amp;IF($I285="","canal, ","")&amp;IF($H285="","município, ","")&amp;IF(AND($U285="Sim",$E285=""),"empresa, ","")&amp;IF(AND($U285="Sim",$F285=""),"editor, ","")&amp;IF(AND($K285="Concluído",$N285=""),"data de conclusão, ","")&amp;IF(AND($K285="Concluído",$R285=""),"link, ","")&amp;IF(AND($K285="Concluído",$L285=""),"quem liberou, ",""),LEN(IF($J285="","título, ","")&amp;IF($C285="","responsável, ","")&amp;IF($D285="","tipo, ","")&amp;IF($I285="","canal, ","")&amp;IF($H285="","município, ","")&amp;IF(AND($U285="Sim",$E285=""),"empresa, ","")&amp;IF(AND($U285="Sim",$F285=""),"editor, ","")&amp;IF(AND($K285="Concluído",$N285=""),"data de conclusão, ","")&amp;IF(AND($K285="Concluído",$R285=""),"link, ","")&amp;IF(AND($K285="Concluído",$L285=""),"quem liberou, ",""))-2)))</f>
        <v/>
      </c>
      <c r="R285" s="38"/>
      <c r="S285" s="38"/>
      <c r="T285" s="38"/>
      <c r="U285" s="40" t="str">
        <f aca="false">IF($A285="","",IFERROR(INDEX(Listas!$E$5:$E$64,MATCH($D285,Listas!$C$5:$C$64,0)),"Não"))</f>
        <v/>
      </c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9" t="str">
        <f aca="false">IF(OR($A286="",$D286=""),"",$A286+IFERROR(INDEX(Listas!$D$5:$D$64,MATCH($D286,Listas!$C$5:$C$64,0)),3))</f>
        <v/>
      </c>
      <c r="N286" s="37"/>
      <c r="O286" s="40" t="str">
        <f aca="false">IF($A286="","",IF($K286="Concluído","Sim","Não"))</f>
        <v/>
      </c>
      <c r="P286" s="40" t="str">
        <f aca="true">IF($A286="","",IF($K286="Stand-by","Stand-by",IF($K286="Concluído","Concluída",IF(AND($M286&lt;&gt;"",$M286&lt;TODAY()),"Atrasada","Em dia"))))</f>
        <v/>
      </c>
      <c r="Q286" s="40" t="str">
        <f aca="false">IF($A286="","",IF(LEN(IF($J286="","título, ","")&amp;IF($C286="","responsável, ","")&amp;IF($D286="","tipo, ","")&amp;IF($I286="","canal, ","")&amp;IF($H286="","município, ","")&amp;IF(AND($U286="Sim",$E286=""),"empresa, ","")&amp;IF(AND($U286="Sim",$F286=""),"editor, ","")&amp;IF(AND($K286="Concluído",$N286=""),"data de conclusão, ","")&amp;IF(AND($K286="Concluído",$R286=""),"link, ","")&amp;IF(AND($K286="Concluído",$L286=""),"quem liberou, ",""))=0,"OK","Falta "&amp;LEFT(IF($J286="","título, ","")&amp;IF($C286="","responsável, ","")&amp;IF($D286="","tipo, ","")&amp;IF($I286="","canal, ","")&amp;IF($H286="","município, ","")&amp;IF(AND($U286="Sim",$E286=""),"empresa, ","")&amp;IF(AND($U286="Sim",$F286=""),"editor, ","")&amp;IF(AND($K286="Concluído",$N286=""),"data de conclusão, ","")&amp;IF(AND($K286="Concluído",$R286=""),"link, ","")&amp;IF(AND($K286="Concluído",$L286=""),"quem liberou, ",""),LEN(IF($J286="","título, ","")&amp;IF($C286="","responsável, ","")&amp;IF($D286="","tipo, ","")&amp;IF($I286="","canal, ","")&amp;IF($H286="","município, ","")&amp;IF(AND($U286="Sim",$E286=""),"empresa, ","")&amp;IF(AND($U286="Sim",$F286=""),"editor, ","")&amp;IF(AND($K286="Concluído",$N286=""),"data de conclusão, ","")&amp;IF(AND($K286="Concluído",$R286=""),"link, ","")&amp;IF(AND($K286="Concluído",$L286=""),"quem liberou, ",""))-2)))</f>
        <v/>
      </c>
      <c r="R286" s="38"/>
      <c r="S286" s="38"/>
      <c r="T286" s="38"/>
      <c r="U286" s="40" t="str">
        <f aca="false">IF($A286="","",IFERROR(INDEX(Listas!$E$5:$E$64,MATCH($D286,Listas!$C$5:$C$64,0)),"Não"))</f>
        <v/>
      </c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9" t="str">
        <f aca="false">IF(OR($A287="",$D287=""),"",$A287+IFERROR(INDEX(Listas!$D$5:$D$64,MATCH($D287,Listas!$C$5:$C$64,0)),3))</f>
        <v/>
      </c>
      <c r="N287" s="37"/>
      <c r="O287" s="40" t="str">
        <f aca="false">IF($A287="","",IF($K287="Concluído","Sim","Não"))</f>
        <v/>
      </c>
      <c r="P287" s="40" t="str">
        <f aca="true">IF($A287="","",IF($K287="Stand-by","Stand-by",IF($K287="Concluído","Concluída",IF(AND($M287&lt;&gt;"",$M287&lt;TODAY()),"Atrasada","Em dia"))))</f>
        <v/>
      </c>
      <c r="Q287" s="40" t="str">
        <f aca="false">IF($A287="","",IF(LEN(IF($J287="","título, ","")&amp;IF($C287="","responsável, ","")&amp;IF($D287="","tipo, ","")&amp;IF($I287="","canal, ","")&amp;IF($H287="","município, ","")&amp;IF(AND($U287="Sim",$E287=""),"empresa, ","")&amp;IF(AND($U287="Sim",$F287=""),"editor, ","")&amp;IF(AND($K287="Concluído",$N287=""),"data de conclusão, ","")&amp;IF(AND($K287="Concluído",$R287=""),"link, ","")&amp;IF(AND($K287="Concluído",$L287=""),"quem liberou, ",""))=0,"OK","Falta "&amp;LEFT(IF($J287="","título, ","")&amp;IF($C287="","responsável, ","")&amp;IF($D287="","tipo, ","")&amp;IF($I287="","canal, ","")&amp;IF($H287="","município, ","")&amp;IF(AND($U287="Sim",$E287=""),"empresa, ","")&amp;IF(AND($U287="Sim",$F287=""),"editor, ","")&amp;IF(AND($K287="Concluído",$N287=""),"data de conclusão, ","")&amp;IF(AND($K287="Concluído",$R287=""),"link, ","")&amp;IF(AND($K287="Concluído",$L287=""),"quem liberou, ",""),LEN(IF($J287="","título, ","")&amp;IF($C287="","responsável, ","")&amp;IF($D287="","tipo, ","")&amp;IF($I287="","canal, ","")&amp;IF($H287="","município, ","")&amp;IF(AND($U287="Sim",$E287=""),"empresa, ","")&amp;IF(AND($U287="Sim",$F287=""),"editor, ","")&amp;IF(AND($K287="Concluído",$N287=""),"data de conclusão, ","")&amp;IF(AND($K287="Concluído",$R287=""),"link, ","")&amp;IF(AND($K287="Concluído",$L287=""),"quem liberou, ",""))-2)))</f>
        <v/>
      </c>
      <c r="R287" s="38"/>
      <c r="S287" s="38"/>
      <c r="T287" s="38"/>
      <c r="U287" s="40" t="str">
        <f aca="false">IF($A287="","",IFERROR(INDEX(Listas!$E$5:$E$64,MATCH($D287,Listas!$C$5:$C$64,0)),"Não"))</f>
        <v/>
      </c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9" t="str">
        <f aca="false">IF(OR($A288="",$D288=""),"",$A288+IFERROR(INDEX(Listas!$D$5:$D$64,MATCH($D288,Listas!$C$5:$C$64,0)),3))</f>
        <v/>
      </c>
      <c r="N288" s="37"/>
      <c r="O288" s="40" t="str">
        <f aca="false">IF($A288="","",IF($K288="Concluído","Sim","Não"))</f>
        <v/>
      </c>
      <c r="P288" s="40" t="str">
        <f aca="true">IF($A288="","",IF($K288="Stand-by","Stand-by",IF($K288="Concluído","Concluída",IF(AND($M288&lt;&gt;"",$M288&lt;TODAY()),"Atrasada","Em dia"))))</f>
        <v/>
      </c>
      <c r="Q288" s="40" t="str">
        <f aca="false">IF($A288="","",IF(LEN(IF($J288="","título, ","")&amp;IF($C288="","responsável, ","")&amp;IF($D288="","tipo, ","")&amp;IF($I288="","canal, ","")&amp;IF($H288="","município, ","")&amp;IF(AND($U288="Sim",$E288=""),"empresa, ","")&amp;IF(AND($U288="Sim",$F288=""),"editor, ","")&amp;IF(AND($K288="Concluído",$N288=""),"data de conclusão, ","")&amp;IF(AND($K288="Concluído",$R288=""),"link, ","")&amp;IF(AND($K288="Concluído",$L288=""),"quem liberou, ",""))=0,"OK","Falta "&amp;LEFT(IF($J288="","título, ","")&amp;IF($C288="","responsável, ","")&amp;IF($D288="","tipo, ","")&amp;IF($I288="","canal, ","")&amp;IF($H288="","município, ","")&amp;IF(AND($U288="Sim",$E288=""),"empresa, ","")&amp;IF(AND($U288="Sim",$F288=""),"editor, ","")&amp;IF(AND($K288="Concluído",$N288=""),"data de conclusão, ","")&amp;IF(AND($K288="Concluído",$R288=""),"link, ","")&amp;IF(AND($K288="Concluído",$L288=""),"quem liberou, ",""),LEN(IF($J288="","título, ","")&amp;IF($C288="","responsável, ","")&amp;IF($D288="","tipo, ","")&amp;IF($I288="","canal, ","")&amp;IF($H288="","município, ","")&amp;IF(AND($U288="Sim",$E288=""),"empresa, ","")&amp;IF(AND($U288="Sim",$F288=""),"editor, ","")&amp;IF(AND($K288="Concluído",$N288=""),"data de conclusão, ","")&amp;IF(AND($K288="Concluído",$R288=""),"link, ","")&amp;IF(AND($K288="Concluído",$L288=""),"quem liberou, ",""))-2)))</f>
        <v/>
      </c>
      <c r="R288" s="38"/>
      <c r="S288" s="38"/>
      <c r="T288" s="38"/>
      <c r="U288" s="40" t="str">
        <f aca="false">IF($A288="","",IFERROR(INDEX(Listas!$E$5:$E$64,MATCH($D288,Listas!$C$5:$C$64,0)),"Não"))</f>
        <v/>
      </c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9" t="str">
        <f aca="false">IF(OR($A289="",$D289=""),"",$A289+IFERROR(INDEX(Listas!$D$5:$D$64,MATCH($D289,Listas!$C$5:$C$64,0)),3))</f>
        <v/>
      </c>
      <c r="N289" s="37"/>
      <c r="O289" s="40" t="str">
        <f aca="false">IF($A289="","",IF($K289="Concluído","Sim","Não"))</f>
        <v/>
      </c>
      <c r="P289" s="40" t="str">
        <f aca="true">IF($A289="","",IF($K289="Stand-by","Stand-by",IF($K289="Concluído","Concluída",IF(AND($M289&lt;&gt;"",$M289&lt;TODAY()),"Atrasada","Em dia"))))</f>
        <v/>
      </c>
      <c r="Q289" s="40" t="str">
        <f aca="false">IF($A289="","",IF(LEN(IF($J289="","título, ","")&amp;IF($C289="","responsável, ","")&amp;IF($D289="","tipo, ","")&amp;IF($I289="","canal, ","")&amp;IF($H289="","município, ","")&amp;IF(AND($U289="Sim",$E289=""),"empresa, ","")&amp;IF(AND($U289="Sim",$F289=""),"editor, ","")&amp;IF(AND($K289="Concluído",$N289=""),"data de conclusão, ","")&amp;IF(AND($K289="Concluído",$R289=""),"link, ","")&amp;IF(AND($K289="Concluído",$L289=""),"quem liberou, ",""))=0,"OK","Falta "&amp;LEFT(IF($J289="","título, ","")&amp;IF($C289="","responsável, ","")&amp;IF($D289="","tipo, ","")&amp;IF($I289="","canal, ","")&amp;IF($H289="","município, ","")&amp;IF(AND($U289="Sim",$E289=""),"empresa, ","")&amp;IF(AND($U289="Sim",$F289=""),"editor, ","")&amp;IF(AND($K289="Concluído",$N289=""),"data de conclusão, ","")&amp;IF(AND($K289="Concluído",$R289=""),"link, ","")&amp;IF(AND($K289="Concluído",$L289=""),"quem liberou, ",""),LEN(IF($J289="","título, ","")&amp;IF($C289="","responsável, ","")&amp;IF($D289="","tipo, ","")&amp;IF($I289="","canal, ","")&amp;IF($H289="","município, ","")&amp;IF(AND($U289="Sim",$E289=""),"empresa, ","")&amp;IF(AND($U289="Sim",$F289=""),"editor, ","")&amp;IF(AND($K289="Concluído",$N289=""),"data de conclusão, ","")&amp;IF(AND($K289="Concluído",$R289=""),"link, ","")&amp;IF(AND($K289="Concluído",$L289=""),"quem liberou, ",""))-2)))</f>
        <v/>
      </c>
      <c r="R289" s="38"/>
      <c r="S289" s="38"/>
      <c r="T289" s="38"/>
      <c r="U289" s="40" t="str">
        <f aca="false">IF($A289="","",IFERROR(INDEX(Listas!$E$5:$E$64,MATCH($D289,Listas!$C$5:$C$64,0)),"Não"))</f>
        <v/>
      </c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9" t="str">
        <f aca="false">IF(OR($A290="",$D290=""),"",$A290+IFERROR(INDEX(Listas!$D$5:$D$64,MATCH($D290,Listas!$C$5:$C$64,0)),3))</f>
        <v/>
      </c>
      <c r="N290" s="37"/>
      <c r="O290" s="40" t="str">
        <f aca="false">IF($A290="","",IF($K290="Concluído","Sim","Não"))</f>
        <v/>
      </c>
      <c r="P290" s="40" t="str">
        <f aca="true">IF($A290="","",IF($K290="Stand-by","Stand-by",IF($K290="Concluído","Concluída",IF(AND($M290&lt;&gt;"",$M290&lt;TODAY()),"Atrasada","Em dia"))))</f>
        <v/>
      </c>
      <c r="Q290" s="40" t="str">
        <f aca="false">IF($A290="","",IF(LEN(IF($J290="","título, ","")&amp;IF($C290="","responsável, ","")&amp;IF($D290="","tipo, ","")&amp;IF($I290="","canal, ","")&amp;IF($H290="","município, ","")&amp;IF(AND($U290="Sim",$E290=""),"empresa, ","")&amp;IF(AND($U290="Sim",$F290=""),"editor, ","")&amp;IF(AND($K290="Concluído",$N290=""),"data de conclusão, ","")&amp;IF(AND($K290="Concluído",$R290=""),"link, ","")&amp;IF(AND($K290="Concluído",$L290=""),"quem liberou, ",""))=0,"OK","Falta "&amp;LEFT(IF($J290="","título, ","")&amp;IF($C290="","responsável, ","")&amp;IF($D290="","tipo, ","")&amp;IF($I290="","canal, ","")&amp;IF($H290="","município, ","")&amp;IF(AND($U290="Sim",$E290=""),"empresa, ","")&amp;IF(AND($U290="Sim",$F290=""),"editor, ","")&amp;IF(AND($K290="Concluído",$N290=""),"data de conclusão, ","")&amp;IF(AND($K290="Concluído",$R290=""),"link, ","")&amp;IF(AND($K290="Concluído",$L290=""),"quem liberou, ",""),LEN(IF($J290="","título, ","")&amp;IF($C290="","responsável, ","")&amp;IF($D290="","tipo, ","")&amp;IF($I290="","canal, ","")&amp;IF($H290="","município, ","")&amp;IF(AND($U290="Sim",$E290=""),"empresa, ","")&amp;IF(AND($U290="Sim",$F290=""),"editor, ","")&amp;IF(AND($K290="Concluído",$N290=""),"data de conclusão, ","")&amp;IF(AND($K290="Concluído",$R290=""),"link, ","")&amp;IF(AND($K290="Concluído",$L290=""),"quem liberou, ",""))-2)))</f>
        <v/>
      </c>
      <c r="R290" s="38"/>
      <c r="S290" s="38"/>
      <c r="T290" s="38"/>
      <c r="U290" s="40" t="str">
        <f aca="false">IF($A290="","",IFERROR(INDEX(Listas!$E$5:$E$64,MATCH($D290,Listas!$C$5:$C$64,0)),"Não"))</f>
        <v/>
      </c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9" t="str">
        <f aca="false">IF(OR($A291="",$D291=""),"",$A291+IFERROR(INDEX(Listas!$D$5:$D$64,MATCH($D291,Listas!$C$5:$C$64,0)),3))</f>
        <v/>
      </c>
      <c r="N291" s="37"/>
      <c r="O291" s="40" t="str">
        <f aca="false">IF($A291="","",IF($K291="Concluído","Sim","Não"))</f>
        <v/>
      </c>
      <c r="P291" s="40" t="str">
        <f aca="true">IF($A291="","",IF($K291="Stand-by","Stand-by",IF($K291="Concluído","Concluída",IF(AND($M291&lt;&gt;"",$M291&lt;TODAY()),"Atrasada","Em dia"))))</f>
        <v/>
      </c>
      <c r="Q291" s="40" t="str">
        <f aca="false">IF($A291="","",IF(LEN(IF($J291="","título, ","")&amp;IF($C291="","responsável, ","")&amp;IF($D291="","tipo, ","")&amp;IF($I291="","canal, ","")&amp;IF($H291="","município, ","")&amp;IF(AND($U291="Sim",$E291=""),"empresa, ","")&amp;IF(AND($U291="Sim",$F291=""),"editor, ","")&amp;IF(AND($K291="Concluído",$N291=""),"data de conclusão, ","")&amp;IF(AND($K291="Concluído",$R291=""),"link, ","")&amp;IF(AND($K291="Concluído",$L291=""),"quem liberou, ",""))=0,"OK","Falta "&amp;LEFT(IF($J291="","título, ","")&amp;IF($C291="","responsável, ","")&amp;IF($D291="","tipo, ","")&amp;IF($I291="","canal, ","")&amp;IF($H291="","município, ","")&amp;IF(AND($U291="Sim",$E291=""),"empresa, ","")&amp;IF(AND($U291="Sim",$F291=""),"editor, ","")&amp;IF(AND($K291="Concluído",$N291=""),"data de conclusão, ","")&amp;IF(AND($K291="Concluído",$R291=""),"link, ","")&amp;IF(AND($K291="Concluído",$L291=""),"quem liberou, ",""),LEN(IF($J291="","título, ","")&amp;IF($C291="","responsável, ","")&amp;IF($D291="","tipo, ","")&amp;IF($I291="","canal, ","")&amp;IF($H291="","município, ","")&amp;IF(AND($U291="Sim",$E291=""),"empresa, ","")&amp;IF(AND($U291="Sim",$F291=""),"editor, ","")&amp;IF(AND($K291="Concluído",$N291=""),"data de conclusão, ","")&amp;IF(AND($K291="Concluído",$R291=""),"link, ","")&amp;IF(AND($K291="Concluído",$L291=""),"quem liberou, ",""))-2)))</f>
        <v/>
      </c>
      <c r="R291" s="38"/>
      <c r="S291" s="38"/>
      <c r="T291" s="38"/>
      <c r="U291" s="40" t="str">
        <f aca="false">IF($A291="","",IFERROR(INDEX(Listas!$E$5:$E$64,MATCH($D291,Listas!$C$5:$C$64,0)),"Não"))</f>
        <v/>
      </c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9" t="str">
        <f aca="false">IF(OR($A292="",$D292=""),"",$A292+IFERROR(INDEX(Listas!$D$5:$D$64,MATCH($D292,Listas!$C$5:$C$64,0)),3))</f>
        <v/>
      </c>
      <c r="N292" s="37"/>
      <c r="O292" s="40" t="str">
        <f aca="false">IF($A292="","",IF($K292="Concluído","Sim","Não"))</f>
        <v/>
      </c>
      <c r="P292" s="40" t="str">
        <f aca="true">IF($A292="","",IF($K292="Stand-by","Stand-by",IF($K292="Concluído","Concluída",IF(AND($M292&lt;&gt;"",$M292&lt;TODAY()),"Atrasada","Em dia"))))</f>
        <v/>
      </c>
      <c r="Q292" s="40" t="str">
        <f aca="false">IF($A292="","",IF(LEN(IF($J292="","título, ","")&amp;IF($C292="","responsável, ","")&amp;IF($D292="","tipo, ","")&amp;IF($I292="","canal, ","")&amp;IF($H292="","município, ","")&amp;IF(AND($U292="Sim",$E292=""),"empresa, ","")&amp;IF(AND($U292="Sim",$F292=""),"editor, ","")&amp;IF(AND($K292="Concluído",$N292=""),"data de conclusão, ","")&amp;IF(AND($K292="Concluído",$R292=""),"link, ","")&amp;IF(AND($K292="Concluído",$L292=""),"quem liberou, ",""))=0,"OK","Falta "&amp;LEFT(IF($J292="","título, ","")&amp;IF($C292="","responsável, ","")&amp;IF($D292="","tipo, ","")&amp;IF($I292="","canal, ","")&amp;IF($H292="","município, ","")&amp;IF(AND($U292="Sim",$E292=""),"empresa, ","")&amp;IF(AND($U292="Sim",$F292=""),"editor, ","")&amp;IF(AND($K292="Concluído",$N292=""),"data de conclusão, ","")&amp;IF(AND($K292="Concluído",$R292=""),"link, ","")&amp;IF(AND($K292="Concluído",$L292=""),"quem liberou, ",""),LEN(IF($J292="","título, ","")&amp;IF($C292="","responsável, ","")&amp;IF($D292="","tipo, ","")&amp;IF($I292="","canal, ","")&amp;IF($H292="","município, ","")&amp;IF(AND($U292="Sim",$E292=""),"empresa, ","")&amp;IF(AND($U292="Sim",$F292=""),"editor, ","")&amp;IF(AND($K292="Concluído",$N292=""),"data de conclusão, ","")&amp;IF(AND($K292="Concluído",$R292=""),"link, ","")&amp;IF(AND($K292="Concluído",$L292=""),"quem liberou, ",""))-2)))</f>
        <v/>
      </c>
      <c r="R292" s="38"/>
      <c r="S292" s="38"/>
      <c r="T292" s="38"/>
      <c r="U292" s="40" t="str">
        <f aca="false">IF($A292="","",IFERROR(INDEX(Listas!$E$5:$E$64,MATCH($D292,Listas!$C$5:$C$64,0)),"Não"))</f>
        <v/>
      </c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9" t="str">
        <f aca="false">IF(OR($A293="",$D293=""),"",$A293+IFERROR(INDEX(Listas!$D$5:$D$64,MATCH($D293,Listas!$C$5:$C$64,0)),3))</f>
        <v/>
      </c>
      <c r="N293" s="37"/>
      <c r="O293" s="40" t="str">
        <f aca="false">IF($A293="","",IF($K293="Concluído","Sim","Não"))</f>
        <v/>
      </c>
      <c r="P293" s="40" t="str">
        <f aca="true">IF($A293="","",IF($K293="Stand-by","Stand-by",IF($K293="Concluído","Concluída",IF(AND($M293&lt;&gt;"",$M293&lt;TODAY()),"Atrasada","Em dia"))))</f>
        <v/>
      </c>
      <c r="Q293" s="40" t="str">
        <f aca="false">IF($A293="","",IF(LEN(IF($J293="","título, ","")&amp;IF($C293="","responsável, ","")&amp;IF($D293="","tipo, ","")&amp;IF($I293="","canal, ","")&amp;IF($H293="","município, ","")&amp;IF(AND($U293="Sim",$E293=""),"empresa, ","")&amp;IF(AND($U293="Sim",$F293=""),"editor, ","")&amp;IF(AND($K293="Concluído",$N293=""),"data de conclusão, ","")&amp;IF(AND($K293="Concluído",$R293=""),"link, ","")&amp;IF(AND($K293="Concluído",$L293=""),"quem liberou, ",""))=0,"OK","Falta "&amp;LEFT(IF($J293="","título, ","")&amp;IF($C293="","responsável, ","")&amp;IF($D293="","tipo, ","")&amp;IF($I293="","canal, ","")&amp;IF($H293="","município, ","")&amp;IF(AND($U293="Sim",$E293=""),"empresa, ","")&amp;IF(AND($U293="Sim",$F293=""),"editor, ","")&amp;IF(AND($K293="Concluído",$N293=""),"data de conclusão, ","")&amp;IF(AND($K293="Concluído",$R293=""),"link, ","")&amp;IF(AND($K293="Concluído",$L293=""),"quem liberou, ",""),LEN(IF($J293="","título, ","")&amp;IF($C293="","responsável, ","")&amp;IF($D293="","tipo, ","")&amp;IF($I293="","canal, ","")&amp;IF($H293="","município, ","")&amp;IF(AND($U293="Sim",$E293=""),"empresa, ","")&amp;IF(AND($U293="Sim",$F293=""),"editor, ","")&amp;IF(AND($K293="Concluído",$N293=""),"data de conclusão, ","")&amp;IF(AND($K293="Concluído",$R293=""),"link, ","")&amp;IF(AND($K293="Concluído",$L293=""),"quem liberou, ",""))-2)))</f>
        <v/>
      </c>
      <c r="R293" s="38"/>
      <c r="S293" s="38"/>
      <c r="T293" s="38"/>
      <c r="U293" s="40" t="str">
        <f aca="false">IF($A293="","",IFERROR(INDEX(Listas!$E$5:$E$64,MATCH($D293,Listas!$C$5:$C$64,0)),"Não"))</f>
        <v/>
      </c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9" t="str">
        <f aca="false">IF(OR($A294="",$D294=""),"",$A294+IFERROR(INDEX(Listas!$D$5:$D$64,MATCH($D294,Listas!$C$5:$C$64,0)),3))</f>
        <v/>
      </c>
      <c r="N294" s="37"/>
      <c r="O294" s="40" t="str">
        <f aca="false">IF($A294="","",IF($K294="Concluído","Sim","Não"))</f>
        <v/>
      </c>
      <c r="P294" s="40" t="str">
        <f aca="true">IF($A294="","",IF($K294="Stand-by","Stand-by",IF($K294="Concluído","Concluída",IF(AND($M294&lt;&gt;"",$M294&lt;TODAY()),"Atrasada","Em dia"))))</f>
        <v/>
      </c>
      <c r="Q294" s="40" t="str">
        <f aca="false">IF($A294="","",IF(LEN(IF($J294="","título, ","")&amp;IF($C294="","responsável, ","")&amp;IF($D294="","tipo, ","")&amp;IF($I294="","canal, ","")&amp;IF($H294="","município, ","")&amp;IF(AND($U294="Sim",$E294=""),"empresa, ","")&amp;IF(AND($U294="Sim",$F294=""),"editor, ","")&amp;IF(AND($K294="Concluído",$N294=""),"data de conclusão, ","")&amp;IF(AND($K294="Concluído",$R294=""),"link, ","")&amp;IF(AND($K294="Concluído",$L294=""),"quem liberou, ",""))=0,"OK","Falta "&amp;LEFT(IF($J294="","título, ","")&amp;IF($C294="","responsável, ","")&amp;IF($D294="","tipo, ","")&amp;IF($I294="","canal, ","")&amp;IF($H294="","município, ","")&amp;IF(AND($U294="Sim",$E294=""),"empresa, ","")&amp;IF(AND($U294="Sim",$F294=""),"editor, ","")&amp;IF(AND($K294="Concluído",$N294=""),"data de conclusão, ","")&amp;IF(AND($K294="Concluído",$R294=""),"link, ","")&amp;IF(AND($K294="Concluído",$L294=""),"quem liberou, ",""),LEN(IF($J294="","título, ","")&amp;IF($C294="","responsável, ","")&amp;IF($D294="","tipo, ","")&amp;IF($I294="","canal, ","")&amp;IF($H294="","município, ","")&amp;IF(AND($U294="Sim",$E294=""),"empresa, ","")&amp;IF(AND($U294="Sim",$F294=""),"editor, ","")&amp;IF(AND($K294="Concluído",$N294=""),"data de conclusão, ","")&amp;IF(AND($K294="Concluído",$R294=""),"link, ","")&amp;IF(AND($K294="Concluído",$L294=""),"quem liberou, ",""))-2)))</f>
        <v/>
      </c>
      <c r="R294" s="38"/>
      <c r="S294" s="38"/>
      <c r="T294" s="38"/>
      <c r="U294" s="40" t="str">
        <f aca="false">IF($A294="","",IFERROR(INDEX(Listas!$E$5:$E$64,MATCH($D294,Listas!$C$5:$C$64,0)),"Não"))</f>
        <v/>
      </c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9" t="str">
        <f aca="false">IF(OR($A295="",$D295=""),"",$A295+IFERROR(INDEX(Listas!$D$5:$D$64,MATCH($D295,Listas!$C$5:$C$64,0)),3))</f>
        <v/>
      </c>
      <c r="N295" s="37"/>
      <c r="O295" s="40" t="str">
        <f aca="false">IF($A295="","",IF($K295="Concluído","Sim","Não"))</f>
        <v/>
      </c>
      <c r="P295" s="40" t="str">
        <f aca="true">IF($A295="","",IF($K295="Stand-by","Stand-by",IF($K295="Concluído","Concluída",IF(AND($M295&lt;&gt;"",$M295&lt;TODAY()),"Atrasada","Em dia"))))</f>
        <v/>
      </c>
      <c r="Q295" s="40" t="str">
        <f aca="false">IF($A295="","",IF(LEN(IF($J295="","título, ","")&amp;IF($C295="","responsável, ","")&amp;IF($D295="","tipo, ","")&amp;IF($I295="","canal, ","")&amp;IF($H295="","município, ","")&amp;IF(AND($U295="Sim",$E295=""),"empresa, ","")&amp;IF(AND($U295="Sim",$F295=""),"editor, ","")&amp;IF(AND($K295="Concluído",$N295=""),"data de conclusão, ","")&amp;IF(AND($K295="Concluído",$R295=""),"link, ","")&amp;IF(AND($K295="Concluído",$L295=""),"quem liberou, ",""))=0,"OK","Falta "&amp;LEFT(IF($J295="","título, ","")&amp;IF($C295="","responsável, ","")&amp;IF($D295="","tipo, ","")&amp;IF($I295="","canal, ","")&amp;IF($H295="","município, ","")&amp;IF(AND($U295="Sim",$E295=""),"empresa, ","")&amp;IF(AND($U295="Sim",$F295=""),"editor, ","")&amp;IF(AND($K295="Concluído",$N295=""),"data de conclusão, ","")&amp;IF(AND($K295="Concluído",$R295=""),"link, ","")&amp;IF(AND($K295="Concluído",$L295=""),"quem liberou, ",""),LEN(IF($J295="","título, ","")&amp;IF($C295="","responsável, ","")&amp;IF($D295="","tipo, ","")&amp;IF($I295="","canal, ","")&amp;IF($H295="","município, ","")&amp;IF(AND($U295="Sim",$E295=""),"empresa, ","")&amp;IF(AND($U295="Sim",$F295=""),"editor, ","")&amp;IF(AND($K295="Concluído",$N295=""),"data de conclusão, ","")&amp;IF(AND($K295="Concluído",$R295=""),"link, ","")&amp;IF(AND($K295="Concluído",$L295=""),"quem liberou, ",""))-2)))</f>
        <v/>
      </c>
      <c r="R295" s="38"/>
      <c r="S295" s="38"/>
      <c r="T295" s="38"/>
      <c r="U295" s="40" t="str">
        <f aca="false">IF($A295="","",IFERROR(INDEX(Listas!$E$5:$E$64,MATCH($D295,Listas!$C$5:$C$64,0)),"Não"))</f>
        <v/>
      </c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9" t="str">
        <f aca="false">IF(OR($A296="",$D296=""),"",$A296+IFERROR(INDEX(Listas!$D$5:$D$64,MATCH($D296,Listas!$C$5:$C$64,0)),3))</f>
        <v/>
      </c>
      <c r="N296" s="37"/>
      <c r="O296" s="40" t="str">
        <f aca="false">IF($A296="","",IF($K296="Concluído","Sim","Não"))</f>
        <v/>
      </c>
      <c r="P296" s="40" t="str">
        <f aca="true">IF($A296="","",IF($K296="Stand-by","Stand-by",IF($K296="Concluído","Concluída",IF(AND($M296&lt;&gt;"",$M296&lt;TODAY()),"Atrasada","Em dia"))))</f>
        <v/>
      </c>
      <c r="Q296" s="40" t="str">
        <f aca="false">IF($A296="","",IF(LEN(IF($J296="","título, ","")&amp;IF($C296="","responsável, ","")&amp;IF($D296="","tipo, ","")&amp;IF($I296="","canal, ","")&amp;IF($H296="","município, ","")&amp;IF(AND($U296="Sim",$E296=""),"empresa, ","")&amp;IF(AND($U296="Sim",$F296=""),"editor, ","")&amp;IF(AND($K296="Concluído",$N296=""),"data de conclusão, ","")&amp;IF(AND($K296="Concluído",$R296=""),"link, ","")&amp;IF(AND($K296="Concluído",$L296=""),"quem liberou, ",""))=0,"OK","Falta "&amp;LEFT(IF($J296="","título, ","")&amp;IF($C296="","responsável, ","")&amp;IF($D296="","tipo, ","")&amp;IF($I296="","canal, ","")&amp;IF($H296="","município, ","")&amp;IF(AND($U296="Sim",$E296=""),"empresa, ","")&amp;IF(AND($U296="Sim",$F296=""),"editor, ","")&amp;IF(AND($K296="Concluído",$N296=""),"data de conclusão, ","")&amp;IF(AND($K296="Concluído",$R296=""),"link, ","")&amp;IF(AND($K296="Concluído",$L296=""),"quem liberou, ",""),LEN(IF($J296="","título, ","")&amp;IF($C296="","responsável, ","")&amp;IF($D296="","tipo, ","")&amp;IF($I296="","canal, ","")&amp;IF($H296="","município, ","")&amp;IF(AND($U296="Sim",$E296=""),"empresa, ","")&amp;IF(AND($U296="Sim",$F296=""),"editor, ","")&amp;IF(AND($K296="Concluído",$N296=""),"data de conclusão, ","")&amp;IF(AND($K296="Concluído",$R296=""),"link, ","")&amp;IF(AND($K296="Concluído",$L296=""),"quem liberou, ",""))-2)))</f>
        <v/>
      </c>
      <c r="R296" s="38"/>
      <c r="S296" s="38"/>
      <c r="T296" s="38"/>
      <c r="U296" s="40" t="str">
        <f aca="false">IF($A296="","",IFERROR(INDEX(Listas!$E$5:$E$64,MATCH($D296,Listas!$C$5:$C$64,0)),"Não"))</f>
        <v/>
      </c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9" t="str">
        <f aca="false">IF(OR($A297="",$D297=""),"",$A297+IFERROR(INDEX(Listas!$D$5:$D$64,MATCH($D297,Listas!$C$5:$C$64,0)),3))</f>
        <v/>
      </c>
      <c r="N297" s="37"/>
      <c r="O297" s="40" t="str">
        <f aca="false">IF($A297="","",IF($K297="Concluído","Sim","Não"))</f>
        <v/>
      </c>
      <c r="P297" s="40" t="str">
        <f aca="true">IF($A297="","",IF($K297="Stand-by","Stand-by",IF($K297="Concluído","Concluída",IF(AND($M297&lt;&gt;"",$M297&lt;TODAY()),"Atrasada","Em dia"))))</f>
        <v/>
      </c>
      <c r="Q297" s="40" t="str">
        <f aca="false">IF($A297="","",IF(LEN(IF($J297="","título, ","")&amp;IF($C297="","responsável, ","")&amp;IF($D297="","tipo, ","")&amp;IF($I297="","canal, ","")&amp;IF($H297="","município, ","")&amp;IF(AND($U297="Sim",$E297=""),"empresa, ","")&amp;IF(AND($U297="Sim",$F297=""),"editor, ","")&amp;IF(AND($K297="Concluído",$N297=""),"data de conclusão, ","")&amp;IF(AND($K297="Concluído",$R297=""),"link, ","")&amp;IF(AND($K297="Concluído",$L297=""),"quem liberou, ",""))=0,"OK","Falta "&amp;LEFT(IF($J297="","título, ","")&amp;IF($C297="","responsável, ","")&amp;IF($D297="","tipo, ","")&amp;IF($I297="","canal, ","")&amp;IF($H297="","município, ","")&amp;IF(AND($U297="Sim",$E297=""),"empresa, ","")&amp;IF(AND($U297="Sim",$F297=""),"editor, ","")&amp;IF(AND($K297="Concluído",$N297=""),"data de conclusão, ","")&amp;IF(AND($K297="Concluído",$R297=""),"link, ","")&amp;IF(AND($K297="Concluído",$L297=""),"quem liberou, ",""),LEN(IF($J297="","título, ","")&amp;IF($C297="","responsável, ","")&amp;IF($D297="","tipo, ","")&amp;IF($I297="","canal, ","")&amp;IF($H297="","município, ","")&amp;IF(AND($U297="Sim",$E297=""),"empresa, ","")&amp;IF(AND($U297="Sim",$F297=""),"editor, ","")&amp;IF(AND($K297="Concluído",$N297=""),"data de conclusão, ","")&amp;IF(AND($K297="Concluído",$R297=""),"link, ","")&amp;IF(AND($K297="Concluído",$L297=""),"quem liberou, ",""))-2)))</f>
        <v/>
      </c>
      <c r="R297" s="38"/>
      <c r="S297" s="38"/>
      <c r="T297" s="38"/>
      <c r="U297" s="40" t="str">
        <f aca="false">IF($A297="","",IFERROR(INDEX(Listas!$E$5:$E$64,MATCH($D297,Listas!$C$5:$C$64,0)),"Não"))</f>
        <v/>
      </c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9" t="str">
        <f aca="false">IF(OR($A298="",$D298=""),"",$A298+IFERROR(INDEX(Listas!$D$5:$D$64,MATCH($D298,Listas!$C$5:$C$64,0)),3))</f>
        <v/>
      </c>
      <c r="N298" s="37"/>
      <c r="O298" s="40" t="str">
        <f aca="false">IF($A298="","",IF($K298="Concluído","Sim","Não"))</f>
        <v/>
      </c>
      <c r="P298" s="40" t="str">
        <f aca="true">IF($A298="","",IF($K298="Stand-by","Stand-by",IF($K298="Concluído","Concluída",IF(AND($M298&lt;&gt;"",$M298&lt;TODAY()),"Atrasada","Em dia"))))</f>
        <v/>
      </c>
      <c r="Q298" s="40" t="str">
        <f aca="false">IF($A298="","",IF(LEN(IF($J298="","título, ","")&amp;IF($C298="","responsável, ","")&amp;IF($D298="","tipo, ","")&amp;IF($I298="","canal, ","")&amp;IF($H298="","município, ","")&amp;IF(AND($U298="Sim",$E298=""),"empresa, ","")&amp;IF(AND($U298="Sim",$F298=""),"editor, ","")&amp;IF(AND($K298="Concluído",$N298=""),"data de conclusão, ","")&amp;IF(AND($K298="Concluído",$R298=""),"link, ","")&amp;IF(AND($K298="Concluído",$L298=""),"quem liberou, ",""))=0,"OK","Falta "&amp;LEFT(IF($J298="","título, ","")&amp;IF($C298="","responsável, ","")&amp;IF($D298="","tipo, ","")&amp;IF($I298="","canal, ","")&amp;IF($H298="","município, ","")&amp;IF(AND($U298="Sim",$E298=""),"empresa, ","")&amp;IF(AND($U298="Sim",$F298=""),"editor, ","")&amp;IF(AND($K298="Concluído",$N298=""),"data de conclusão, ","")&amp;IF(AND($K298="Concluído",$R298=""),"link, ","")&amp;IF(AND($K298="Concluído",$L298=""),"quem liberou, ",""),LEN(IF($J298="","título, ","")&amp;IF($C298="","responsável, ","")&amp;IF($D298="","tipo, ","")&amp;IF($I298="","canal, ","")&amp;IF($H298="","município, ","")&amp;IF(AND($U298="Sim",$E298=""),"empresa, ","")&amp;IF(AND($U298="Sim",$F298=""),"editor, ","")&amp;IF(AND($K298="Concluído",$N298=""),"data de conclusão, ","")&amp;IF(AND($K298="Concluído",$R298=""),"link, ","")&amp;IF(AND($K298="Concluído",$L298=""),"quem liberou, ",""))-2)))</f>
        <v/>
      </c>
      <c r="R298" s="38"/>
      <c r="S298" s="38"/>
      <c r="T298" s="38"/>
      <c r="U298" s="40" t="str">
        <f aca="false">IF($A298="","",IFERROR(INDEX(Listas!$E$5:$E$64,MATCH($D298,Listas!$C$5:$C$64,0)),"Não"))</f>
        <v/>
      </c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9" t="str">
        <f aca="false">IF(OR($A299="",$D299=""),"",$A299+IFERROR(INDEX(Listas!$D$5:$D$64,MATCH($D299,Listas!$C$5:$C$64,0)),3))</f>
        <v/>
      </c>
      <c r="N299" s="37"/>
      <c r="O299" s="40" t="str">
        <f aca="false">IF($A299="","",IF($K299="Concluído","Sim","Não"))</f>
        <v/>
      </c>
      <c r="P299" s="40" t="str">
        <f aca="true">IF($A299="","",IF($K299="Stand-by","Stand-by",IF($K299="Concluído","Concluída",IF(AND($M299&lt;&gt;"",$M299&lt;TODAY()),"Atrasada","Em dia"))))</f>
        <v/>
      </c>
      <c r="Q299" s="40" t="str">
        <f aca="false">IF($A299="","",IF(LEN(IF($J299="","título, ","")&amp;IF($C299="","responsável, ","")&amp;IF($D299="","tipo, ","")&amp;IF($I299="","canal, ","")&amp;IF($H299="","município, ","")&amp;IF(AND($U299="Sim",$E299=""),"empresa, ","")&amp;IF(AND($U299="Sim",$F299=""),"editor, ","")&amp;IF(AND($K299="Concluído",$N299=""),"data de conclusão, ","")&amp;IF(AND($K299="Concluído",$R299=""),"link, ","")&amp;IF(AND($K299="Concluído",$L299=""),"quem liberou, ",""))=0,"OK","Falta "&amp;LEFT(IF($J299="","título, ","")&amp;IF($C299="","responsável, ","")&amp;IF($D299="","tipo, ","")&amp;IF($I299="","canal, ","")&amp;IF($H299="","município, ","")&amp;IF(AND($U299="Sim",$E299=""),"empresa, ","")&amp;IF(AND($U299="Sim",$F299=""),"editor, ","")&amp;IF(AND($K299="Concluído",$N299=""),"data de conclusão, ","")&amp;IF(AND($K299="Concluído",$R299=""),"link, ","")&amp;IF(AND($K299="Concluído",$L299=""),"quem liberou, ",""),LEN(IF($J299="","título, ","")&amp;IF($C299="","responsável, ","")&amp;IF($D299="","tipo, ","")&amp;IF($I299="","canal, ","")&amp;IF($H299="","município, ","")&amp;IF(AND($U299="Sim",$E299=""),"empresa, ","")&amp;IF(AND($U299="Sim",$F299=""),"editor, ","")&amp;IF(AND($K299="Concluído",$N299=""),"data de conclusão, ","")&amp;IF(AND($K299="Concluído",$R299=""),"link, ","")&amp;IF(AND($K299="Concluído",$L299=""),"quem liberou, ",""))-2)))</f>
        <v/>
      </c>
      <c r="R299" s="38"/>
      <c r="S299" s="38"/>
      <c r="T299" s="38"/>
      <c r="U299" s="40" t="str">
        <f aca="false">IF($A299="","",IFERROR(INDEX(Listas!$E$5:$E$64,MATCH($D299,Listas!$C$5:$C$64,0)),"Não"))</f>
        <v/>
      </c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9" t="str">
        <f aca="false">IF(OR($A300="",$D300=""),"",$A300+IFERROR(INDEX(Listas!$D$5:$D$64,MATCH($D300,Listas!$C$5:$C$64,0)),3))</f>
        <v/>
      </c>
      <c r="N300" s="37"/>
      <c r="O300" s="40" t="str">
        <f aca="false">IF($A300="","",IF($K300="Concluído","Sim","Não"))</f>
        <v/>
      </c>
      <c r="P300" s="40" t="str">
        <f aca="true">IF($A300="","",IF($K300="Stand-by","Stand-by",IF($K300="Concluído","Concluída",IF(AND($M300&lt;&gt;"",$M300&lt;TODAY()),"Atrasada","Em dia"))))</f>
        <v/>
      </c>
      <c r="Q300" s="40" t="str">
        <f aca="false">IF($A300="","",IF(LEN(IF($J300="","título, ","")&amp;IF($C300="","responsável, ","")&amp;IF($D300="","tipo, ","")&amp;IF($I300="","canal, ","")&amp;IF($H300="","município, ","")&amp;IF(AND($U300="Sim",$E300=""),"empresa, ","")&amp;IF(AND($U300="Sim",$F300=""),"editor, ","")&amp;IF(AND($K300="Concluído",$N300=""),"data de conclusão, ","")&amp;IF(AND($K300="Concluído",$R300=""),"link, ","")&amp;IF(AND($K300="Concluído",$L300=""),"quem liberou, ",""))=0,"OK","Falta "&amp;LEFT(IF($J300="","título, ","")&amp;IF($C300="","responsável, ","")&amp;IF($D300="","tipo, ","")&amp;IF($I300="","canal, ","")&amp;IF($H300="","município, ","")&amp;IF(AND($U300="Sim",$E300=""),"empresa, ","")&amp;IF(AND($U300="Sim",$F300=""),"editor, ","")&amp;IF(AND($K300="Concluído",$N300=""),"data de conclusão, ","")&amp;IF(AND($K300="Concluído",$R300=""),"link, ","")&amp;IF(AND($K300="Concluído",$L300=""),"quem liberou, ",""),LEN(IF($J300="","título, ","")&amp;IF($C300="","responsável, ","")&amp;IF($D300="","tipo, ","")&amp;IF($I300="","canal, ","")&amp;IF($H300="","município, ","")&amp;IF(AND($U300="Sim",$E300=""),"empresa, ","")&amp;IF(AND($U300="Sim",$F300=""),"editor, ","")&amp;IF(AND($K300="Concluído",$N300=""),"data de conclusão, ","")&amp;IF(AND($K300="Concluído",$R300=""),"link, ","")&amp;IF(AND($K300="Concluído",$L300=""),"quem liberou, ",""))-2)))</f>
        <v/>
      </c>
      <c r="R300" s="38"/>
      <c r="S300" s="38"/>
      <c r="T300" s="38"/>
      <c r="U300" s="40" t="str">
        <f aca="false">IF($A300="","",IFERROR(INDEX(Listas!$E$5:$E$64,MATCH($D300,Listas!$C$5:$C$64,0)),"Não"))</f>
        <v/>
      </c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9" t="str">
        <f aca="false">IF(OR($A301="",$D301=""),"",$A301+IFERROR(INDEX(Listas!$D$5:$D$64,MATCH($D301,Listas!$C$5:$C$64,0)),3))</f>
        <v/>
      </c>
      <c r="N301" s="37"/>
      <c r="O301" s="40" t="str">
        <f aca="false">IF($A301="","",IF($K301="Concluído","Sim","Não"))</f>
        <v/>
      </c>
      <c r="P301" s="40" t="str">
        <f aca="true">IF($A301="","",IF($K301="Stand-by","Stand-by",IF($K301="Concluído","Concluída",IF(AND($M301&lt;&gt;"",$M301&lt;TODAY()),"Atrasada","Em dia"))))</f>
        <v/>
      </c>
      <c r="Q301" s="40" t="str">
        <f aca="false">IF($A301="","",IF(LEN(IF($J301="","título, ","")&amp;IF($C301="","responsável, ","")&amp;IF($D301="","tipo, ","")&amp;IF($I301="","canal, ","")&amp;IF($H301="","município, ","")&amp;IF(AND($U301="Sim",$E301=""),"empresa, ","")&amp;IF(AND($U301="Sim",$F301=""),"editor, ","")&amp;IF(AND($K301="Concluído",$N301=""),"data de conclusão, ","")&amp;IF(AND($K301="Concluído",$R301=""),"link, ","")&amp;IF(AND($K301="Concluído",$L301=""),"quem liberou, ",""))=0,"OK","Falta "&amp;LEFT(IF($J301="","título, ","")&amp;IF($C301="","responsável, ","")&amp;IF($D301="","tipo, ","")&amp;IF($I301="","canal, ","")&amp;IF($H301="","município, ","")&amp;IF(AND($U301="Sim",$E301=""),"empresa, ","")&amp;IF(AND($U301="Sim",$F301=""),"editor, ","")&amp;IF(AND($K301="Concluído",$N301=""),"data de conclusão, ","")&amp;IF(AND($K301="Concluído",$R301=""),"link, ","")&amp;IF(AND($K301="Concluído",$L301=""),"quem liberou, ",""),LEN(IF($J301="","título, ","")&amp;IF($C301="","responsável, ","")&amp;IF($D301="","tipo, ","")&amp;IF($I301="","canal, ","")&amp;IF($H301="","município, ","")&amp;IF(AND($U301="Sim",$E301=""),"empresa, ","")&amp;IF(AND($U301="Sim",$F301=""),"editor, ","")&amp;IF(AND($K301="Concluído",$N301=""),"data de conclusão, ","")&amp;IF(AND($K301="Concluído",$R301=""),"link, ","")&amp;IF(AND($K301="Concluído",$L301=""),"quem liberou, ",""))-2)))</f>
        <v/>
      </c>
      <c r="R301" s="38"/>
      <c r="S301" s="38"/>
      <c r="T301" s="38"/>
      <c r="U301" s="40" t="str">
        <f aca="false">IF($A301="","",IFERROR(INDEX(Listas!$E$5:$E$64,MATCH($D301,Listas!$C$5:$C$64,0)),"Não"))</f>
        <v/>
      </c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9" t="str">
        <f aca="false">IF(OR($A302="",$D302=""),"",$A302+IFERROR(INDEX(Listas!$D$5:$D$64,MATCH($D302,Listas!$C$5:$C$64,0)),3))</f>
        <v/>
      </c>
      <c r="N302" s="37"/>
      <c r="O302" s="40" t="str">
        <f aca="false">IF($A302="","",IF($K302="Concluído","Sim","Não"))</f>
        <v/>
      </c>
      <c r="P302" s="40" t="str">
        <f aca="true">IF($A302="","",IF($K302="Stand-by","Stand-by",IF($K302="Concluído","Concluída",IF(AND($M302&lt;&gt;"",$M302&lt;TODAY()),"Atrasada","Em dia"))))</f>
        <v/>
      </c>
      <c r="Q302" s="40" t="str">
        <f aca="false">IF($A302="","",IF(LEN(IF($J302="","título, ","")&amp;IF($C302="","responsável, ","")&amp;IF($D302="","tipo, ","")&amp;IF($I302="","canal, ","")&amp;IF($H302="","município, ","")&amp;IF(AND($U302="Sim",$E302=""),"empresa, ","")&amp;IF(AND($U302="Sim",$F302=""),"editor, ","")&amp;IF(AND($K302="Concluído",$N302=""),"data de conclusão, ","")&amp;IF(AND($K302="Concluído",$R302=""),"link, ","")&amp;IF(AND($K302="Concluído",$L302=""),"quem liberou, ",""))=0,"OK","Falta "&amp;LEFT(IF($J302="","título, ","")&amp;IF($C302="","responsável, ","")&amp;IF($D302="","tipo, ","")&amp;IF($I302="","canal, ","")&amp;IF($H302="","município, ","")&amp;IF(AND($U302="Sim",$E302=""),"empresa, ","")&amp;IF(AND($U302="Sim",$F302=""),"editor, ","")&amp;IF(AND($K302="Concluído",$N302=""),"data de conclusão, ","")&amp;IF(AND($K302="Concluído",$R302=""),"link, ","")&amp;IF(AND($K302="Concluído",$L302=""),"quem liberou, ",""),LEN(IF($J302="","título, ","")&amp;IF($C302="","responsável, ","")&amp;IF($D302="","tipo, ","")&amp;IF($I302="","canal, ","")&amp;IF($H302="","município, ","")&amp;IF(AND($U302="Sim",$E302=""),"empresa, ","")&amp;IF(AND($U302="Sim",$F302=""),"editor, ","")&amp;IF(AND($K302="Concluído",$N302=""),"data de conclusão, ","")&amp;IF(AND($K302="Concluído",$R302=""),"link, ","")&amp;IF(AND($K302="Concluído",$L302=""),"quem liberou, ",""))-2)))</f>
        <v/>
      </c>
      <c r="R302" s="38"/>
      <c r="S302" s="38"/>
      <c r="T302" s="38"/>
      <c r="U302" s="40" t="str">
        <f aca="false">IF($A302="","",IFERROR(INDEX(Listas!$E$5:$E$64,MATCH($D302,Listas!$C$5:$C$64,0)),"Não"))</f>
        <v/>
      </c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9" t="str">
        <f aca="false">IF(OR($A303="",$D303=""),"",$A303+IFERROR(INDEX(Listas!$D$5:$D$64,MATCH($D303,Listas!$C$5:$C$64,0)),3))</f>
        <v/>
      </c>
      <c r="N303" s="37"/>
      <c r="O303" s="40" t="str">
        <f aca="false">IF($A303="","",IF($K303="Concluído","Sim","Não"))</f>
        <v/>
      </c>
      <c r="P303" s="40" t="str">
        <f aca="true">IF($A303="","",IF($K303="Stand-by","Stand-by",IF($K303="Concluído","Concluída",IF(AND($M303&lt;&gt;"",$M303&lt;TODAY()),"Atrasada","Em dia"))))</f>
        <v/>
      </c>
      <c r="Q303" s="40" t="str">
        <f aca="false">IF($A303="","",IF(LEN(IF($J303="","título, ","")&amp;IF($C303="","responsável, ","")&amp;IF($D303="","tipo, ","")&amp;IF($I303="","canal, ","")&amp;IF($H303="","município, ","")&amp;IF(AND($U303="Sim",$E303=""),"empresa, ","")&amp;IF(AND($U303="Sim",$F303=""),"editor, ","")&amp;IF(AND($K303="Concluído",$N303=""),"data de conclusão, ","")&amp;IF(AND($K303="Concluído",$R303=""),"link, ","")&amp;IF(AND($K303="Concluído",$L303=""),"quem liberou, ",""))=0,"OK","Falta "&amp;LEFT(IF($J303="","título, ","")&amp;IF($C303="","responsável, ","")&amp;IF($D303="","tipo, ","")&amp;IF($I303="","canal, ","")&amp;IF($H303="","município, ","")&amp;IF(AND($U303="Sim",$E303=""),"empresa, ","")&amp;IF(AND($U303="Sim",$F303=""),"editor, ","")&amp;IF(AND($K303="Concluído",$N303=""),"data de conclusão, ","")&amp;IF(AND($K303="Concluído",$R303=""),"link, ","")&amp;IF(AND($K303="Concluído",$L303=""),"quem liberou, ",""),LEN(IF($J303="","título, ","")&amp;IF($C303="","responsável, ","")&amp;IF($D303="","tipo, ","")&amp;IF($I303="","canal, ","")&amp;IF($H303="","município, ","")&amp;IF(AND($U303="Sim",$E303=""),"empresa, ","")&amp;IF(AND($U303="Sim",$F303=""),"editor, ","")&amp;IF(AND($K303="Concluído",$N303=""),"data de conclusão, ","")&amp;IF(AND($K303="Concluído",$R303=""),"link, ","")&amp;IF(AND($K303="Concluído",$L303=""),"quem liberou, ",""))-2)))</f>
        <v/>
      </c>
      <c r="R303" s="38"/>
      <c r="S303" s="38"/>
      <c r="T303" s="38"/>
      <c r="U303" s="40" t="str">
        <f aca="false">IF($A303="","",IFERROR(INDEX(Listas!$E$5:$E$64,MATCH($D303,Listas!$C$5:$C$64,0)),"Não"))</f>
        <v/>
      </c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9" t="str">
        <f aca="false">IF(OR($A304="",$D304=""),"",$A304+IFERROR(INDEX(Listas!$D$5:$D$64,MATCH($D304,Listas!$C$5:$C$64,0)),3))</f>
        <v/>
      </c>
      <c r="N304" s="37"/>
      <c r="O304" s="40" t="str">
        <f aca="false">IF($A304="","",IF($K304="Concluído","Sim","Não"))</f>
        <v/>
      </c>
      <c r="P304" s="40" t="str">
        <f aca="true">IF($A304="","",IF($K304="Stand-by","Stand-by",IF($K304="Concluído","Concluída",IF(AND($M304&lt;&gt;"",$M304&lt;TODAY()),"Atrasada","Em dia"))))</f>
        <v/>
      </c>
      <c r="Q304" s="40" t="str">
        <f aca="false">IF($A304="","",IF(LEN(IF($J304="","título, ","")&amp;IF($C304="","responsável, ","")&amp;IF($D304="","tipo, ","")&amp;IF($I304="","canal, ","")&amp;IF($H304="","município, ","")&amp;IF(AND($U304="Sim",$E304=""),"empresa, ","")&amp;IF(AND($U304="Sim",$F304=""),"editor, ","")&amp;IF(AND($K304="Concluído",$N304=""),"data de conclusão, ","")&amp;IF(AND($K304="Concluído",$R304=""),"link, ","")&amp;IF(AND($K304="Concluído",$L304=""),"quem liberou, ",""))=0,"OK","Falta "&amp;LEFT(IF($J304="","título, ","")&amp;IF($C304="","responsável, ","")&amp;IF($D304="","tipo, ","")&amp;IF($I304="","canal, ","")&amp;IF($H304="","município, ","")&amp;IF(AND($U304="Sim",$E304=""),"empresa, ","")&amp;IF(AND($U304="Sim",$F304=""),"editor, ","")&amp;IF(AND($K304="Concluído",$N304=""),"data de conclusão, ","")&amp;IF(AND($K304="Concluído",$R304=""),"link, ","")&amp;IF(AND($K304="Concluído",$L304=""),"quem liberou, ",""),LEN(IF($J304="","título, ","")&amp;IF($C304="","responsável, ","")&amp;IF($D304="","tipo, ","")&amp;IF($I304="","canal, ","")&amp;IF($H304="","município, ","")&amp;IF(AND($U304="Sim",$E304=""),"empresa, ","")&amp;IF(AND($U304="Sim",$F304=""),"editor, ","")&amp;IF(AND($K304="Concluído",$N304=""),"data de conclusão, ","")&amp;IF(AND($K304="Concluído",$R304=""),"link, ","")&amp;IF(AND($K304="Concluído",$L304=""),"quem liberou, ",""))-2)))</f>
        <v/>
      </c>
      <c r="R304" s="38"/>
      <c r="S304" s="38"/>
      <c r="T304" s="38"/>
      <c r="U304" s="40" t="str">
        <f aca="false">IF($A304="","",IFERROR(INDEX(Listas!$E$5:$E$64,MATCH($D304,Listas!$C$5:$C$64,0)),"Não"))</f>
        <v/>
      </c>
    </row>
    <row r="305" customFormat="false" ht="15" hidden="false" customHeight="false" outlineLevel="0" collapsed="false">
      <c r="A305" s="37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9" t="str">
        <f aca="false">IF(OR($A305="",$D305=""),"",$A305+IFERROR(INDEX(Listas!$D$5:$D$64,MATCH($D305,Listas!$C$5:$C$64,0)),3))</f>
        <v/>
      </c>
      <c r="N305" s="37"/>
      <c r="O305" s="40" t="str">
        <f aca="false">IF($A305="","",IF($K305="Concluído","Sim","Não"))</f>
        <v/>
      </c>
      <c r="P305" s="40" t="str">
        <f aca="true">IF($A305="","",IF($K305="Stand-by","Stand-by",IF($K305="Concluído","Concluída",IF(AND($M305&lt;&gt;"",$M305&lt;TODAY()),"Atrasada","Em dia"))))</f>
        <v/>
      </c>
      <c r="Q305" s="40" t="str">
        <f aca="false">IF($A305="","",IF(LEN(IF($J305="","título, ","")&amp;IF($C305="","responsável, ","")&amp;IF($D305="","tipo, ","")&amp;IF($I305="","canal, ","")&amp;IF($H305="","município, ","")&amp;IF(AND($U305="Sim",$E305=""),"empresa, ","")&amp;IF(AND($U305="Sim",$F305=""),"editor, ","")&amp;IF(AND($K305="Concluído",$N305=""),"data de conclusão, ","")&amp;IF(AND($K305="Concluído",$R305=""),"link, ","")&amp;IF(AND($K305="Concluído",$L305=""),"quem liberou, ",""))=0,"OK","Falta "&amp;LEFT(IF($J305="","título, ","")&amp;IF($C305="","responsável, ","")&amp;IF($D305="","tipo, ","")&amp;IF($I305="","canal, ","")&amp;IF($H305="","município, ","")&amp;IF(AND($U305="Sim",$E305=""),"empresa, ","")&amp;IF(AND($U305="Sim",$F305=""),"editor, ","")&amp;IF(AND($K305="Concluído",$N305=""),"data de conclusão, ","")&amp;IF(AND($K305="Concluído",$R305=""),"link, ","")&amp;IF(AND($K305="Concluído",$L305=""),"quem liberou, ",""),LEN(IF($J305="","título, ","")&amp;IF($C305="","responsável, ","")&amp;IF($D305="","tipo, ","")&amp;IF($I305="","canal, ","")&amp;IF($H305="","município, ","")&amp;IF(AND($U305="Sim",$E305=""),"empresa, ","")&amp;IF(AND($U305="Sim",$F305=""),"editor, ","")&amp;IF(AND($K305="Concluído",$N305=""),"data de conclusão, ","")&amp;IF(AND($K305="Concluído",$R305=""),"link, ","")&amp;IF(AND($K305="Concluído",$L305=""),"quem liberou, ",""))-2)))</f>
        <v/>
      </c>
      <c r="R305" s="38"/>
      <c r="S305" s="38"/>
      <c r="T305" s="38"/>
      <c r="U305" s="40" t="str">
        <f aca="false">IF($A305="","",IFERROR(INDEX(Listas!$E$5:$E$64,MATCH($D305,Listas!$C$5:$C$64,0)),"Não"))</f>
        <v/>
      </c>
    </row>
    <row r="306" customFormat="false" ht="15" hidden="false" customHeight="false" outlineLevel="0" collapsed="false">
      <c r="A306" s="37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9" t="str">
        <f aca="false">IF(OR($A306="",$D306=""),"",$A306+IFERROR(INDEX(Listas!$D$5:$D$64,MATCH($D306,Listas!$C$5:$C$64,0)),3))</f>
        <v/>
      </c>
      <c r="N306" s="37"/>
      <c r="O306" s="40" t="str">
        <f aca="false">IF($A306="","",IF($K306="Concluído","Sim","Não"))</f>
        <v/>
      </c>
      <c r="P306" s="40" t="str">
        <f aca="true">IF($A306="","",IF($K306="Stand-by","Stand-by",IF($K306="Concluído","Concluída",IF(AND($M306&lt;&gt;"",$M306&lt;TODAY()),"Atrasada","Em dia"))))</f>
        <v/>
      </c>
      <c r="Q306" s="40" t="str">
        <f aca="false">IF($A306="","",IF(LEN(IF($J306="","título, ","")&amp;IF($C306="","responsável, ","")&amp;IF($D306="","tipo, ","")&amp;IF($I306="","canal, ","")&amp;IF($H306="","município, ","")&amp;IF(AND($U306="Sim",$E306=""),"empresa, ","")&amp;IF(AND($U306="Sim",$F306=""),"editor, ","")&amp;IF(AND($K306="Concluído",$N306=""),"data de conclusão, ","")&amp;IF(AND($K306="Concluído",$R306=""),"link, ","")&amp;IF(AND($K306="Concluído",$L306=""),"quem liberou, ",""))=0,"OK","Falta "&amp;LEFT(IF($J306="","título, ","")&amp;IF($C306="","responsável, ","")&amp;IF($D306="","tipo, ","")&amp;IF($I306="","canal, ","")&amp;IF($H306="","município, ","")&amp;IF(AND($U306="Sim",$E306=""),"empresa, ","")&amp;IF(AND($U306="Sim",$F306=""),"editor, ","")&amp;IF(AND($K306="Concluído",$N306=""),"data de conclusão, ","")&amp;IF(AND($K306="Concluído",$R306=""),"link, ","")&amp;IF(AND($K306="Concluído",$L306=""),"quem liberou, ",""),LEN(IF($J306="","título, ","")&amp;IF($C306="","responsável, ","")&amp;IF($D306="","tipo, ","")&amp;IF($I306="","canal, ","")&amp;IF($H306="","município, ","")&amp;IF(AND($U306="Sim",$E306=""),"empresa, ","")&amp;IF(AND($U306="Sim",$F306=""),"editor, ","")&amp;IF(AND($K306="Concluído",$N306=""),"data de conclusão, ","")&amp;IF(AND($K306="Concluído",$R306=""),"link, ","")&amp;IF(AND($K306="Concluído",$L306=""),"quem liberou, ",""))-2)))</f>
        <v/>
      </c>
      <c r="R306" s="38"/>
      <c r="S306" s="38"/>
      <c r="T306" s="38"/>
      <c r="U306" s="40" t="str">
        <f aca="false">IF($A306="","",IFERROR(INDEX(Listas!$E$5:$E$64,MATCH($D306,Listas!$C$5:$C$64,0)),"Não"))</f>
        <v/>
      </c>
    </row>
    <row r="307" customFormat="false" ht="15" hidden="false" customHeight="false" outlineLevel="0" collapsed="false">
      <c r="A307" s="37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9" t="str">
        <f aca="false">IF(OR($A307="",$D307=""),"",$A307+IFERROR(INDEX(Listas!$D$5:$D$64,MATCH($D307,Listas!$C$5:$C$64,0)),3))</f>
        <v/>
      </c>
      <c r="N307" s="37"/>
      <c r="O307" s="40" t="str">
        <f aca="false">IF($A307="","",IF($K307="Concluído","Sim","Não"))</f>
        <v/>
      </c>
      <c r="P307" s="40" t="str">
        <f aca="true">IF($A307="","",IF($K307="Stand-by","Stand-by",IF($K307="Concluído","Concluída",IF(AND($M307&lt;&gt;"",$M307&lt;TODAY()),"Atrasada","Em dia"))))</f>
        <v/>
      </c>
      <c r="Q307" s="40" t="str">
        <f aca="false">IF($A307="","",IF(LEN(IF($J307="","título, ","")&amp;IF($C307="","responsável, ","")&amp;IF($D307="","tipo, ","")&amp;IF($I307="","canal, ","")&amp;IF($H307="","município, ","")&amp;IF(AND($U307="Sim",$E307=""),"empresa, ","")&amp;IF(AND($U307="Sim",$F307=""),"editor, ","")&amp;IF(AND($K307="Concluído",$N307=""),"data de conclusão, ","")&amp;IF(AND($K307="Concluído",$R307=""),"link, ","")&amp;IF(AND($K307="Concluído",$L307=""),"quem liberou, ",""))=0,"OK","Falta "&amp;LEFT(IF($J307="","título, ","")&amp;IF($C307="","responsável, ","")&amp;IF($D307="","tipo, ","")&amp;IF($I307="","canal, ","")&amp;IF($H307="","município, ","")&amp;IF(AND($U307="Sim",$E307=""),"empresa, ","")&amp;IF(AND($U307="Sim",$F307=""),"editor, ","")&amp;IF(AND($K307="Concluído",$N307=""),"data de conclusão, ","")&amp;IF(AND($K307="Concluído",$R307=""),"link, ","")&amp;IF(AND($K307="Concluído",$L307=""),"quem liberou, ",""),LEN(IF($J307="","título, ","")&amp;IF($C307="","responsável, ","")&amp;IF($D307="","tipo, ","")&amp;IF($I307="","canal, ","")&amp;IF($H307="","município, ","")&amp;IF(AND($U307="Sim",$E307=""),"empresa, ","")&amp;IF(AND($U307="Sim",$F307=""),"editor, ","")&amp;IF(AND($K307="Concluído",$N307=""),"data de conclusão, ","")&amp;IF(AND($K307="Concluído",$R307=""),"link, ","")&amp;IF(AND($K307="Concluído",$L307=""),"quem liberou, ",""))-2)))</f>
        <v/>
      </c>
      <c r="R307" s="38"/>
      <c r="S307" s="38"/>
      <c r="T307" s="38"/>
      <c r="U307" s="40" t="str">
        <f aca="false">IF($A307="","",IFERROR(INDEX(Listas!$E$5:$E$64,MATCH($D307,Listas!$C$5:$C$64,0)),"Não"))</f>
        <v/>
      </c>
    </row>
    <row r="308" customFormat="false" ht="15" hidden="false" customHeight="false" outlineLevel="0" collapsed="false">
      <c r="A308" s="37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9" t="str">
        <f aca="false">IF(OR($A308="",$D308=""),"",$A308+IFERROR(INDEX(Listas!$D$5:$D$64,MATCH($D308,Listas!$C$5:$C$64,0)),3))</f>
        <v/>
      </c>
      <c r="N308" s="37"/>
      <c r="O308" s="40" t="str">
        <f aca="false">IF($A308="","",IF($K308="Concluído","Sim","Não"))</f>
        <v/>
      </c>
      <c r="P308" s="40" t="str">
        <f aca="true">IF($A308="","",IF($K308="Stand-by","Stand-by",IF($K308="Concluído","Concluída",IF(AND($M308&lt;&gt;"",$M308&lt;TODAY()),"Atrasada","Em dia"))))</f>
        <v/>
      </c>
      <c r="Q308" s="40" t="str">
        <f aca="false">IF($A308="","",IF(LEN(IF($J308="","título, ","")&amp;IF($C308="","responsável, ","")&amp;IF($D308="","tipo, ","")&amp;IF($I308="","canal, ","")&amp;IF($H308="","município, ","")&amp;IF(AND($U308="Sim",$E308=""),"empresa, ","")&amp;IF(AND($U308="Sim",$F308=""),"editor, ","")&amp;IF(AND($K308="Concluído",$N308=""),"data de conclusão, ","")&amp;IF(AND($K308="Concluído",$R308=""),"link, ","")&amp;IF(AND($K308="Concluído",$L308=""),"quem liberou, ",""))=0,"OK","Falta "&amp;LEFT(IF($J308="","título, ","")&amp;IF($C308="","responsável, ","")&amp;IF($D308="","tipo, ","")&amp;IF($I308="","canal, ","")&amp;IF($H308="","município, ","")&amp;IF(AND($U308="Sim",$E308=""),"empresa, ","")&amp;IF(AND($U308="Sim",$F308=""),"editor, ","")&amp;IF(AND($K308="Concluído",$N308=""),"data de conclusão, ","")&amp;IF(AND($K308="Concluído",$R308=""),"link, ","")&amp;IF(AND($K308="Concluído",$L308=""),"quem liberou, ",""),LEN(IF($J308="","título, ","")&amp;IF($C308="","responsável, ","")&amp;IF($D308="","tipo, ","")&amp;IF($I308="","canal, ","")&amp;IF($H308="","município, ","")&amp;IF(AND($U308="Sim",$E308=""),"empresa, ","")&amp;IF(AND($U308="Sim",$F308=""),"editor, ","")&amp;IF(AND($K308="Concluído",$N308=""),"data de conclusão, ","")&amp;IF(AND($K308="Concluído",$R308=""),"link, ","")&amp;IF(AND($K308="Concluído",$L308=""),"quem liberou, ",""))-2)))</f>
        <v/>
      </c>
      <c r="R308" s="38"/>
      <c r="S308" s="38"/>
      <c r="T308" s="38"/>
      <c r="U308" s="40" t="str">
        <f aca="false">IF($A308="","",IFERROR(INDEX(Listas!$E$5:$E$64,MATCH($D308,Listas!$C$5:$C$64,0)),"Não"))</f>
        <v/>
      </c>
    </row>
    <row r="309" customFormat="false" ht="15" hidden="false" customHeight="false" outlineLevel="0" collapsed="false">
      <c r="A309" s="37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9" t="str">
        <f aca="false">IF(OR($A309="",$D309=""),"",$A309+IFERROR(INDEX(Listas!$D$5:$D$64,MATCH($D309,Listas!$C$5:$C$64,0)),3))</f>
        <v/>
      </c>
      <c r="N309" s="37"/>
      <c r="O309" s="40" t="str">
        <f aca="false">IF($A309="","",IF($K309="Concluído","Sim","Não"))</f>
        <v/>
      </c>
      <c r="P309" s="40" t="str">
        <f aca="true">IF($A309="","",IF($K309="Stand-by","Stand-by",IF($K309="Concluído","Concluída",IF(AND($M309&lt;&gt;"",$M309&lt;TODAY()),"Atrasada","Em dia"))))</f>
        <v/>
      </c>
      <c r="Q309" s="40" t="str">
        <f aca="false">IF($A309="","",IF(LEN(IF($J309="","título, ","")&amp;IF($C309="","responsável, ","")&amp;IF($D309="","tipo, ","")&amp;IF($I309="","canal, ","")&amp;IF($H309="","município, ","")&amp;IF(AND($U309="Sim",$E309=""),"empresa, ","")&amp;IF(AND($U309="Sim",$F309=""),"editor, ","")&amp;IF(AND($K309="Concluído",$N309=""),"data de conclusão, ","")&amp;IF(AND($K309="Concluído",$R309=""),"link, ","")&amp;IF(AND($K309="Concluído",$L309=""),"quem liberou, ",""))=0,"OK","Falta "&amp;LEFT(IF($J309="","título, ","")&amp;IF($C309="","responsável, ","")&amp;IF($D309="","tipo, ","")&amp;IF($I309="","canal, ","")&amp;IF($H309="","município, ","")&amp;IF(AND($U309="Sim",$E309=""),"empresa, ","")&amp;IF(AND($U309="Sim",$F309=""),"editor, ","")&amp;IF(AND($K309="Concluído",$N309=""),"data de conclusão, ","")&amp;IF(AND($K309="Concluído",$R309=""),"link, ","")&amp;IF(AND($K309="Concluído",$L309=""),"quem liberou, ",""),LEN(IF($J309="","título, ","")&amp;IF($C309="","responsável, ","")&amp;IF($D309="","tipo, ","")&amp;IF($I309="","canal, ","")&amp;IF($H309="","município, ","")&amp;IF(AND($U309="Sim",$E309=""),"empresa, ","")&amp;IF(AND($U309="Sim",$F309=""),"editor, ","")&amp;IF(AND($K309="Concluído",$N309=""),"data de conclusão, ","")&amp;IF(AND($K309="Concluído",$R309=""),"link, ","")&amp;IF(AND($K309="Concluído",$L309=""),"quem liberou, ",""))-2)))</f>
        <v/>
      </c>
      <c r="R309" s="38"/>
      <c r="S309" s="38"/>
      <c r="T309" s="38"/>
      <c r="U309" s="40" t="str">
        <f aca="false">IF($A309="","",IFERROR(INDEX(Listas!$E$5:$E$64,MATCH($D309,Listas!$C$5:$C$64,0)),"Não"))</f>
        <v/>
      </c>
    </row>
    <row r="310" customFormat="false" ht="15" hidden="false" customHeight="false" outlineLevel="0" collapsed="false">
      <c r="A310" s="37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9" t="str">
        <f aca="false">IF(OR($A310="",$D310=""),"",$A310+IFERROR(INDEX(Listas!$D$5:$D$64,MATCH($D310,Listas!$C$5:$C$64,0)),3))</f>
        <v/>
      </c>
      <c r="N310" s="37"/>
      <c r="O310" s="40" t="str">
        <f aca="false">IF($A310="","",IF($K310="Concluído","Sim","Não"))</f>
        <v/>
      </c>
      <c r="P310" s="40" t="str">
        <f aca="true">IF($A310="","",IF($K310="Stand-by","Stand-by",IF($K310="Concluído","Concluída",IF(AND($M310&lt;&gt;"",$M310&lt;TODAY()),"Atrasada","Em dia"))))</f>
        <v/>
      </c>
      <c r="Q310" s="40" t="str">
        <f aca="false">IF($A310="","",IF(LEN(IF($J310="","título, ","")&amp;IF($C310="","responsável, ","")&amp;IF($D310="","tipo, ","")&amp;IF($I310="","canal, ","")&amp;IF($H310="","município, ","")&amp;IF(AND($U310="Sim",$E310=""),"empresa, ","")&amp;IF(AND($U310="Sim",$F310=""),"editor, ","")&amp;IF(AND($K310="Concluído",$N310=""),"data de conclusão, ","")&amp;IF(AND($K310="Concluído",$R310=""),"link, ","")&amp;IF(AND($K310="Concluído",$L310=""),"quem liberou, ",""))=0,"OK","Falta "&amp;LEFT(IF($J310="","título, ","")&amp;IF($C310="","responsável, ","")&amp;IF($D310="","tipo, ","")&amp;IF($I310="","canal, ","")&amp;IF($H310="","município, ","")&amp;IF(AND($U310="Sim",$E310=""),"empresa, ","")&amp;IF(AND($U310="Sim",$F310=""),"editor, ","")&amp;IF(AND($K310="Concluído",$N310=""),"data de conclusão, ","")&amp;IF(AND($K310="Concluído",$R310=""),"link, ","")&amp;IF(AND($K310="Concluído",$L310=""),"quem liberou, ",""),LEN(IF($J310="","título, ","")&amp;IF($C310="","responsável, ","")&amp;IF($D310="","tipo, ","")&amp;IF($I310="","canal, ","")&amp;IF($H310="","município, ","")&amp;IF(AND($U310="Sim",$E310=""),"empresa, ","")&amp;IF(AND($U310="Sim",$F310=""),"editor, ","")&amp;IF(AND($K310="Concluído",$N310=""),"data de conclusão, ","")&amp;IF(AND($K310="Concluído",$R310=""),"link, ","")&amp;IF(AND($K310="Concluído",$L310=""),"quem liberou, ",""))-2)))</f>
        <v/>
      </c>
      <c r="R310" s="38"/>
      <c r="S310" s="38"/>
      <c r="T310" s="38"/>
      <c r="U310" s="40" t="str">
        <f aca="false">IF($A310="","",IFERROR(INDEX(Listas!$E$5:$E$64,MATCH($D310,Listas!$C$5:$C$64,0)),"Não"))</f>
        <v/>
      </c>
    </row>
    <row r="311" customFormat="false" ht="15" hidden="false" customHeight="false" outlineLevel="0" collapsed="false">
      <c r="A311" s="37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9" t="str">
        <f aca="false">IF(OR($A311="",$D311=""),"",$A311+IFERROR(INDEX(Listas!$D$5:$D$64,MATCH($D311,Listas!$C$5:$C$64,0)),3))</f>
        <v/>
      </c>
      <c r="N311" s="37"/>
      <c r="O311" s="40" t="str">
        <f aca="false">IF($A311="","",IF($K311="Concluído","Sim","Não"))</f>
        <v/>
      </c>
      <c r="P311" s="40" t="str">
        <f aca="true">IF($A311="","",IF($K311="Stand-by","Stand-by",IF($K311="Concluído","Concluída",IF(AND($M311&lt;&gt;"",$M311&lt;TODAY()),"Atrasada","Em dia"))))</f>
        <v/>
      </c>
      <c r="Q311" s="40" t="str">
        <f aca="false">IF($A311="","",IF(LEN(IF($J311="","título, ","")&amp;IF($C311="","responsável, ","")&amp;IF($D311="","tipo, ","")&amp;IF($I311="","canal, ","")&amp;IF($H311="","município, ","")&amp;IF(AND($U311="Sim",$E311=""),"empresa, ","")&amp;IF(AND($U311="Sim",$F311=""),"editor, ","")&amp;IF(AND($K311="Concluído",$N311=""),"data de conclusão, ","")&amp;IF(AND($K311="Concluído",$R311=""),"link, ","")&amp;IF(AND($K311="Concluído",$L311=""),"quem liberou, ",""))=0,"OK","Falta "&amp;LEFT(IF($J311="","título, ","")&amp;IF($C311="","responsável, ","")&amp;IF($D311="","tipo, ","")&amp;IF($I311="","canal, ","")&amp;IF($H311="","município, ","")&amp;IF(AND($U311="Sim",$E311=""),"empresa, ","")&amp;IF(AND($U311="Sim",$F311=""),"editor, ","")&amp;IF(AND($K311="Concluído",$N311=""),"data de conclusão, ","")&amp;IF(AND($K311="Concluído",$R311=""),"link, ","")&amp;IF(AND($K311="Concluído",$L311=""),"quem liberou, ",""),LEN(IF($J311="","título, ","")&amp;IF($C311="","responsável, ","")&amp;IF($D311="","tipo, ","")&amp;IF($I311="","canal, ","")&amp;IF($H311="","município, ","")&amp;IF(AND($U311="Sim",$E311=""),"empresa, ","")&amp;IF(AND($U311="Sim",$F311=""),"editor, ","")&amp;IF(AND($K311="Concluído",$N311=""),"data de conclusão, ","")&amp;IF(AND($K311="Concluído",$R311=""),"link, ","")&amp;IF(AND($K311="Concluído",$L311=""),"quem liberou, ",""))-2)))</f>
        <v/>
      </c>
      <c r="R311" s="38"/>
      <c r="S311" s="38"/>
      <c r="T311" s="38"/>
      <c r="U311" s="40" t="str">
        <f aca="false">IF($A311="","",IFERROR(INDEX(Listas!$E$5:$E$64,MATCH($D311,Listas!$C$5:$C$64,0)),"Não"))</f>
        <v/>
      </c>
    </row>
    <row r="312" customFormat="false" ht="15" hidden="false" customHeight="false" outlineLevel="0" collapsed="false">
      <c r="A312" s="37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9" t="str">
        <f aca="false">IF(OR($A312="",$D312=""),"",$A312+IFERROR(INDEX(Listas!$D$5:$D$64,MATCH($D312,Listas!$C$5:$C$64,0)),3))</f>
        <v/>
      </c>
      <c r="N312" s="37"/>
      <c r="O312" s="40" t="str">
        <f aca="false">IF($A312="","",IF($K312="Concluído","Sim","Não"))</f>
        <v/>
      </c>
      <c r="P312" s="40" t="str">
        <f aca="true">IF($A312="","",IF($K312="Stand-by","Stand-by",IF($K312="Concluído","Concluída",IF(AND($M312&lt;&gt;"",$M312&lt;TODAY()),"Atrasada","Em dia"))))</f>
        <v/>
      </c>
      <c r="Q312" s="40" t="str">
        <f aca="false">IF($A312="","",IF(LEN(IF($J312="","título, ","")&amp;IF($C312="","responsável, ","")&amp;IF($D312="","tipo, ","")&amp;IF($I312="","canal, ","")&amp;IF($H312="","município, ","")&amp;IF(AND($U312="Sim",$E312=""),"empresa, ","")&amp;IF(AND($U312="Sim",$F312=""),"editor, ","")&amp;IF(AND($K312="Concluído",$N312=""),"data de conclusão, ","")&amp;IF(AND($K312="Concluído",$R312=""),"link, ","")&amp;IF(AND($K312="Concluído",$L312=""),"quem liberou, ",""))=0,"OK","Falta "&amp;LEFT(IF($J312="","título, ","")&amp;IF($C312="","responsável, ","")&amp;IF($D312="","tipo, ","")&amp;IF($I312="","canal, ","")&amp;IF($H312="","município, ","")&amp;IF(AND($U312="Sim",$E312=""),"empresa, ","")&amp;IF(AND($U312="Sim",$F312=""),"editor, ","")&amp;IF(AND($K312="Concluído",$N312=""),"data de conclusão, ","")&amp;IF(AND($K312="Concluído",$R312=""),"link, ","")&amp;IF(AND($K312="Concluído",$L312=""),"quem liberou, ",""),LEN(IF($J312="","título, ","")&amp;IF($C312="","responsável, ","")&amp;IF($D312="","tipo, ","")&amp;IF($I312="","canal, ","")&amp;IF($H312="","município, ","")&amp;IF(AND($U312="Sim",$E312=""),"empresa, ","")&amp;IF(AND($U312="Sim",$F312=""),"editor, ","")&amp;IF(AND($K312="Concluído",$N312=""),"data de conclusão, ","")&amp;IF(AND($K312="Concluído",$R312=""),"link, ","")&amp;IF(AND($K312="Concluído",$L312=""),"quem liberou, ",""))-2)))</f>
        <v/>
      </c>
      <c r="R312" s="38"/>
      <c r="S312" s="38"/>
      <c r="T312" s="38"/>
      <c r="U312" s="40" t="str">
        <f aca="false">IF($A312="","",IFERROR(INDEX(Listas!$E$5:$E$64,MATCH($D312,Listas!$C$5:$C$64,0)),"Não"))</f>
        <v/>
      </c>
    </row>
    <row r="313" customFormat="false" ht="15" hidden="false" customHeight="false" outlineLevel="0" collapsed="false">
      <c r="A313" s="37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9" t="str">
        <f aca="false">IF(OR($A313="",$D313=""),"",$A313+IFERROR(INDEX(Listas!$D$5:$D$64,MATCH($D313,Listas!$C$5:$C$64,0)),3))</f>
        <v/>
      </c>
      <c r="N313" s="37"/>
      <c r="O313" s="40" t="str">
        <f aca="false">IF($A313="","",IF($K313="Concluído","Sim","Não"))</f>
        <v/>
      </c>
      <c r="P313" s="40" t="str">
        <f aca="true">IF($A313="","",IF($K313="Stand-by","Stand-by",IF($K313="Concluído","Concluída",IF(AND($M313&lt;&gt;"",$M313&lt;TODAY()),"Atrasada","Em dia"))))</f>
        <v/>
      </c>
      <c r="Q313" s="40" t="str">
        <f aca="false">IF($A313="","",IF(LEN(IF($J313="","título, ","")&amp;IF($C313="","responsável, ","")&amp;IF($D313="","tipo, ","")&amp;IF($I313="","canal, ","")&amp;IF($H313="","município, ","")&amp;IF(AND($U313="Sim",$E313=""),"empresa, ","")&amp;IF(AND($U313="Sim",$F313=""),"editor, ","")&amp;IF(AND($K313="Concluído",$N313=""),"data de conclusão, ","")&amp;IF(AND($K313="Concluído",$R313=""),"link, ","")&amp;IF(AND($K313="Concluído",$L313=""),"quem liberou, ",""))=0,"OK","Falta "&amp;LEFT(IF($J313="","título, ","")&amp;IF($C313="","responsável, ","")&amp;IF($D313="","tipo, ","")&amp;IF($I313="","canal, ","")&amp;IF($H313="","município, ","")&amp;IF(AND($U313="Sim",$E313=""),"empresa, ","")&amp;IF(AND($U313="Sim",$F313=""),"editor, ","")&amp;IF(AND($K313="Concluído",$N313=""),"data de conclusão, ","")&amp;IF(AND($K313="Concluído",$R313=""),"link, ","")&amp;IF(AND($K313="Concluído",$L313=""),"quem liberou, ",""),LEN(IF($J313="","título, ","")&amp;IF($C313="","responsável, ","")&amp;IF($D313="","tipo, ","")&amp;IF($I313="","canal, ","")&amp;IF($H313="","município, ","")&amp;IF(AND($U313="Sim",$E313=""),"empresa, ","")&amp;IF(AND($U313="Sim",$F313=""),"editor, ","")&amp;IF(AND($K313="Concluído",$N313=""),"data de conclusão, ","")&amp;IF(AND($K313="Concluído",$R313=""),"link, ","")&amp;IF(AND($K313="Concluído",$L313=""),"quem liberou, ",""))-2)))</f>
        <v/>
      </c>
      <c r="R313" s="38"/>
      <c r="S313" s="38"/>
      <c r="T313" s="38"/>
      <c r="U313" s="40" t="str">
        <f aca="false">IF($A313="","",IFERROR(INDEX(Listas!$E$5:$E$64,MATCH($D313,Listas!$C$5:$C$64,0)),"Não"))</f>
        <v/>
      </c>
    </row>
    <row r="314" customFormat="false" ht="15" hidden="false" customHeight="false" outlineLevel="0" collapsed="false">
      <c r="A314" s="37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9" t="str">
        <f aca="false">IF(OR($A314="",$D314=""),"",$A314+IFERROR(INDEX(Listas!$D$5:$D$64,MATCH($D314,Listas!$C$5:$C$64,0)),3))</f>
        <v/>
      </c>
      <c r="N314" s="37"/>
      <c r="O314" s="40" t="str">
        <f aca="false">IF($A314="","",IF($K314="Concluído","Sim","Não"))</f>
        <v/>
      </c>
      <c r="P314" s="40" t="str">
        <f aca="true">IF($A314="","",IF($K314="Stand-by","Stand-by",IF($K314="Concluído","Concluída",IF(AND($M314&lt;&gt;"",$M314&lt;TODAY()),"Atrasada","Em dia"))))</f>
        <v/>
      </c>
      <c r="Q314" s="40" t="str">
        <f aca="false">IF($A314="","",IF(LEN(IF($J314="","título, ","")&amp;IF($C314="","responsável, ","")&amp;IF($D314="","tipo, ","")&amp;IF($I314="","canal, ","")&amp;IF($H314="","município, ","")&amp;IF(AND($U314="Sim",$E314=""),"empresa, ","")&amp;IF(AND($U314="Sim",$F314=""),"editor, ","")&amp;IF(AND($K314="Concluído",$N314=""),"data de conclusão, ","")&amp;IF(AND($K314="Concluído",$R314=""),"link, ","")&amp;IF(AND($K314="Concluído",$L314=""),"quem liberou, ",""))=0,"OK","Falta "&amp;LEFT(IF($J314="","título, ","")&amp;IF($C314="","responsável, ","")&amp;IF($D314="","tipo, ","")&amp;IF($I314="","canal, ","")&amp;IF($H314="","município, ","")&amp;IF(AND($U314="Sim",$E314=""),"empresa, ","")&amp;IF(AND($U314="Sim",$F314=""),"editor, ","")&amp;IF(AND($K314="Concluído",$N314=""),"data de conclusão, ","")&amp;IF(AND($K314="Concluído",$R314=""),"link, ","")&amp;IF(AND($K314="Concluído",$L314=""),"quem liberou, ",""),LEN(IF($J314="","título, ","")&amp;IF($C314="","responsável, ","")&amp;IF($D314="","tipo, ","")&amp;IF($I314="","canal, ","")&amp;IF($H314="","município, ","")&amp;IF(AND($U314="Sim",$E314=""),"empresa, ","")&amp;IF(AND($U314="Sim",$F314=""),"editor, ","")&amp;IF(AND($K314="Concluído",$N314=""),"data de conclusão, ","")&amp;IF(AND($K314="Concluído",$R314=""),"link, ","")&amp;IF(AND($K314="Concluído",$L314=""),"quem liberou, ",""))-2)))</f>
        <v/>
      </c>
      <c r="R314" s="38"/>
      <c r="S314" s="38"/>
      <c r="T314" s="38"/>
      <c r="U314" s="40" t="str">
        <f aca="false">IF($A314="","",IFERROR(INDEX(Listas!$E$5:$E$64,MATCH($D314,Listas!$C$5:$C$64,0)),"Não"))</f>
        <v/>
      </c>
    </row>
    <row r="315" customFormat="false" ht="15" hidden="false" customHeight="false" outlineLevel="0" collapsed="false">
      <c r="A315" s="37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9" t="str">
        <f aca="false">IF(OR($A315="",$D315=""),"",$A315+IFERROR(INDEX(Listas!$D$5:$D$64,MATCH($D315,Listas!$C$5:$C$64,0)),3))</f>
        <v/>
      </c>
      <c r="N315" s="37"/>
      <c r="O315" s="40" t="str">
        <f aca="false">IF($A315="","",IF($K315="Concluído","Sim","Não"))</f>
        <v/>
      </c>
      <c r="P315" s="40" t="str">
        <f aca="true">IF($A315="","",IF($K315="Stand-by","Stand-by",IF($K315="Concluído","Concluída",IF(AND($M315&lt;&gt;"",$M315&lt;TODAY()),"Atrasada","Em dia"))))</f>
        <v/>
      </c>
      <c r="Q315" s="40" t="str">
        <f aca="false">IF($A315="","",IF(LEN(IF($J315="","título, ","")&amp;IF($C315="","responsável, ","")&amp;IF($D315="","tipo, ","")&amp;IF($I315="","canal, ","")&amp;IF($H315="","município, ","")&amp;IF(AND($U315="Sim",$E315=""),"empresa, ","")&amp;IF(AND($U315="Sim",$F315=""),"editor, ","")&amp;IF(AND($K315="Concluído",$N315=""),"data de conclusão, ","")&amp;IF(AND($K315="Concluído",$R315=""),"link, ","")&amp;IF(AND($K315="Concluído",$L315=""),"quem liberou, ",""))=0,"OK","Falta "&amp;LEFT(IF($J315="","título, ","")&amp;IF($C315="","responsável, ","")&amp;IF($D315="","tipo, ","")&amp;IF($I315="","canal, ","")&amp;IF($H315="","município, ","")&amp;IF(AND($U315="Sim",$E315=""),"empresa, ","")&amp;IF(AND($U315="Sim",$F315=""),"editor, ","")&amp;IF(AND($K315="Concluído",$N315=""),"data de conclusão, ","")&amp;IF(AND($K315="Concluído",$R315=""),"link, ","")&amp;IF(AND($K315="Concluído",$L315=""),"quem liberou, ",""),LEN(IF($J315="","título, ","")&amp;IF($C315="","responsável, ","")&amp;IF($D315="","tipo, ","")&amp;IF($I315="","canal, ","")&amp;IF($H315="","município, ","")&amp;IF(AND($U315="Sim",$E315=""),"empresa, ","")&amp;IF(AND($U315="Sim",$F315=""),"editor, ","")&amp;IF(AND($K315="Concluído",$N315=""),"data de conclusão, ","")&amp;IF(AND($K315="Concluído",$R315=""),"link, ","")&amp;IF(AND($K315="Concluído",$L315=""),"quem liberou, ",""))-2)))</f>
        <v/>
      </c>
      <c r="R315" s="38"/>
      <c r="S315" s="38"/>
      <c r="T315" s="38"/>
      <c r="U315" s="40" t="str">
        <f aca="false">IF($A315="","",IFERROR(INDEX(Listas!$E$5:$E$64,MATCH($D315,Listas!$C$5:$C$64,0)),"Não"))</f>
        <v/>
      </c>
    </row>
    <row r="316" customFormat="false" ht="15" hidden="false" customHeight="false" outlineLevel="0" collapsed="false">
      <c r="A316" s="37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9" t="str">
        <f aca="false">IF(OR($A316="",$D316=""),"",$A316+IFERROR(INDEX(Listas!$D$5:$D$64,MATCH($D316,Listas!$C$5:$C$64,0)),3))</f>
        <v/>
      </c>
      <c r="N316" s="37"/>
      <c r="O316" s="40" t="str">
        <f aca="false">IF($A316="","",IF($K316="Concluído","Sim","Não"))</f>
        <v/>
      </c>
      <c r="P316" s="40" t="str">
        <f aca="true">IF($A316="","",IF($K316="Stand-by","Stand-by",IF($K316="Concluído","Concluída",IF(AND($M316&lt;&gt;"",$M316&lt;TODAY()),"Atrasada","Em dia"))))</f>
        <v/>
      </c>
      <c r="Q316" s="40" t="str">
        <f aca="false">IF($A316="","",IF(LEN(IF($J316="","título, ","")&amp;IF($C316="","responsável, ","")&amp;IF($D316="","tipo, ","")&amp;IF($I316="","canal, ","")&amp;IF($H316="","município, ","")&amp;IF(AND($U316="Sim",$E316=""),"empresa, ","")&amp;IF(AND($U316="Sim",$F316=""),"editor, ","")&amp;IF(AND($K316="Concluído",$N316=""),"data de conclusão, ","")&amp;IF(AND($K316="Concluído",$R316=""),"link, ","")&amp;IF(AND($K316="Concluído",$L316=""),"quem liberou, ",""))=0,"OK","Falta "&amp;LEFT(IF($J316="","título, ","")&amp;IF($C316="","responsável, ","")&amp;IF($D316="","tipo, ","")&amp;IF($I316="","canal, ","")&amp;IF($H316="","município, ","")&amp;IF(AND($U316="Sim",$E316=""),"empresa, ","")&amp;IF(AND($U316="Sim",$F316=""),"editor, ","")&amp;IF(AND($K316="Concluído",$N316=""),"data de conclusão, ","")&amp;IF(AND($K316="Concluído",$R316=""),"link, ","")&amp;IF(AND($K316="Concluído",$L316=""),"quem liberou, ",""),LEN(IF($J316="","título, ","")&amp;IF($C316="","responsável, ","")&amp;IF($D316="","tipo, ","")&amp;IF($I316="","canal, ","")&amp;IF($H316="","município, ","")&amp;IF(AND($U316="Sim",$E316=""),"empresa, ","")&amp;IF(AND($U316="Sim",$F316=""),"editor, ","")&amp;IF(AND($K316="Concluído",$N316=""),"data de conclusão, ","")&amp;IF(AND($K316="Concluído",$R316=""),"link, ","")&amp;IF(AND($K316="Concluído",$L316=""),"quem liberou, ",""))-2)))</f>
        <v/>
      </c>
      <c r="R316" s="38"/>
      <c r="S316" s="38"/>
      <c r="T316" s="38"/>
      <c r="U316" s="40" t="str">
        <f aca="false">IF($A316="","",IFERROR(INDEX(Listas!$E$5:$E$64,MATCH($D316,Listas!$C$5:$C$64,0)),"Não"))</f>
        <v/>
      </c>
    </row>
    <row r="317" customFormat="false" ht="15" hidden="false" customHeight="false" outlineLevel="0" collapsed="false">
      <c r="A317" s="37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9" t="str">
        <f aca="false">IF(OR($A317="",$D317=""),"",$A317+IFERROR(INDEX(Listas!$D$5:$D$64,MATCH($D317,Listas!$C$5:$C$64,0)),3))</f>
        <v/>
      </c>
      <c r="N317" s="37"/>
      <c r="O317" s="40" t="str">
        <f aca="false">IF($A317="","",IF($K317="Concluído","Sim","Não"))</f>
        <v/>
      </c>
      <c r="P317" s="40" t="str">
        <f aca="true">IF($A317="","",IF($K317="Stand-by","Stand-by",IF($K317="Concluído","Concluída",IF(AND($M317&lt;&gt;"",$M317&lt;TODAY()),"Atrasada","Em dia"))))</f>
        <v/>
      </c>
      <c r="Q317" s="40" t="str">
        <f aca="false">IF($A317="","",IF(LEN(IF($J317="","título, ","")&amp;IF($C317="","responsável, ","")&amp;IF($D317="","tipo, ","")&amp;IF($I317="","canal, ","")&amp;IF($H317="","município, ","")&amp;IF(AND($U317="Sim",$E317=""),"empresa, ","")&amp;IF(AND($U317="Sim",$F317=""),"editor, ","")&amp;IF(AND($K317="Concluído",$N317=""),"data de conclusão, ","")&amp;IF(AND($K317="Concluído",$R317=""),"link, ","")&amp;IF(AND($K317="Concluído",$L317=""),"quem liberou, ",""))=0,"OK","Falta "&amp;LEFT(IF($J317="","título, ","")&amp;IF($C317="","responsável, ","")&amp;IF($D317="","tipo, ","")&amp;IF($I317="","canal, ","")&amp;IF($H317="","município, ","")&amp;IF(AND($U317="Sim",$E317=""),"empresa, ","")&amp;IF(AND($U317="Sim",$F317=""),"editor, ","")&amp;IF(AND($K317="Concluído",$N317=""),"data de conclusão, ","")&amp;IF(AND($K317="Concluído",$R317=""),"link, ","")&amp;IF(AND($K317="Concluído",$L317=""),"quem liberou, ",""),LEN(IF($J317="","título, ","")&amp;IF($C317="","responsável, ","")&amp;IF($D317="","tipo, ","")&amp;IF($I317="","canal, ","")&amp;IF($H317="","município, ","")&amp;IF(AND($U317="Sim",$E317=""),"empresa, ","")&amp;IF(AND($U317="Sim",$F317=""),"editor, ","")&amp;IF(AND($K317="Concluído",$N317=""),"data de conclusão, ","")&amp;IF(AND($K317="Concluído",$R317=""),"link, ","")&amp;IF(AND($K317="Concluído",$L317=""),"quem liberou, ",""))-2)))</f>
        <v/>
      </c>
      <c r="R317" s="38"/>
      <c r="S317" s="38"/>
      <c r="T317" s="38"/>
      <c r="U317" s="40" t="str">
        <f aca="false">IF($A317="","",IFERROR(INDEX(Listas!$E$5:$E$64,MATCH($D317,Listas!$C$5:$C$64,0)),"Não"))</f>
        <v/>
      </c>
    </row>
    <row r="318" customFormat="false" ht="15" hidden="false" customHeight="false" outlineLevel="0" collapsed="false">
      <c r="A318" s="37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9" t="str">
        <f aca="false">IF(OR($A318="",$D318=""),"",$A318+IFERROR(INDEX(Listas!$D$5:$D$64,MATCH($D318,Listas!$C$5:$C$64,0)),3))</f>
        <v/>
      </c>
      <c r="N318" s="37"/>
      <c r="O318" s="40" t="str">
        <f aca="false">IF($A318="","",IF($K318="Concluído","Sim","Não"))</f>
        <v/>
      </c>
      <c r="P318" s="40" t="str">
        <f aca="true">IF($A318="","",IF($K318="Stand-by","Stand-by",IF($K318="Concluído","Concluída",IF(AND($M318&lt;&gt;"",$M318&lt;TODAY()),"Atrasada","Em dia"))))</f>
        <v/>
      </c>
      <c r="Q318" s="40" t="str">
        <f aca="false">IF($A318="","",IF(LEN(IF($J318="","título, ","")&amp;IF($C318="","responsável, ","")&amp;IF($D318="","tipo, ","")&amp;IF($I318="","canal, ","")&amp;IF($H318="","município, ","")&amp;IF(AND($U318="Sim",$E318=""),"empresa, ","")&amp;IF(AND($U318="Sim",$F318=""),"editor, ","")&amp;IF(AND($K318="Concluído",$N318=""),"data de conclusão, ","")&amp;IF(AND($K318="Concluído",$R318=""),"link, ","")&amp;IF(AND($K318="Concluído",$L318=""),"quem liberou, ",""))=0,"OK","Falta "&amp;LEFT(IF($J318="","título, ","")&amp;IF($C318="","responsável, ","")&amp;IF($D318="","tipo, ","")&amp;IF($I318="","canal, ","")&amp;IF($H318="","município, ","")&amp;IF(AND($U318="Sim",$E318=""),"empresa, ","")&amp;IF(AND($U318="Sim",$F318=""),"editor, ","")&amp;IF(AND($K318="Concluído",$N318=""),"data de conclusão, ","")&amp;IF(AND($K318="Concluído",$R318=""),"link, ","")&amp;IF(AND($K318="Concluído",$L318=""),"quem liberou, ",""),LEN(IF($J318="","título, ","")&amp;IF($C318="","responsável, ","")&amp;IF($D318="","tipo, ","")&amp;IF($I318="","canal, ","")&amp;IF($H318="","município, ","")&amp;IF(AND($U318="Sim",$E318=""),"empresa, ","")&amp;IF(AND($U318="Sim",$F318=""),"editor, ","")&amp;IF(AND($K318="Concluído",$N318=""),"data de conclusão, ","")&amp;IF(AND($K318="Concluído",$R318=""),"link, ","")&amp;IF(AND($K318="Concluído",$L318=""),"quem liberou, ",""))-2)))</f>
        <v/>
      </c>
      <c r="R318" s="38"/>
      <c r="S318" s="38"/>
      <c r="T318" s="38"/>
      <c r="U318" s="40" t="str">
        <f aca="false">IF($A318="","",IFERROR(INDEX(Listas!$E$5:$E$64,MATCH($D318,Listas!$C$5:$C$64,0)),"Não"))</f>
        <v/>
      </c>
    </row>
    <row r="319" customFormat="false" ht="15" hidden="false" customHeight="false" outlineLevel="0" collapsed="false">
      <c r="A319" s="37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9" t="str">
        <f aca="false">IF(OR($A319="",$D319=""),"",$A319+IFERROR(INDEX(Listas!$D$5:$D$64,MATCH($D319,Listas!$C$5:$C$64,0)),3))</f>
        <v/>
      </c>
      <c r="N319" s="37"/>
      <c r="O319" s="40" t="str">
        <f aca="false">IF($A319="","",IF($K319="Concluído","Sim","Não"))</f>
        <v/>
      </c>
      <c r="P319" s="40" t="str">
        <f aca="true">IF($A319="","",IF($K319="Stand-by","Stand-by",IF($K319="Concluído","Concluída",IF(AND($M319&lt;&gt;"",$M319&lt;TODAY()),"Atrasada","Em dia"))))</f>
        <v/>
      </c>
      <c r="Q319" s="40" t="str">
        <f aca="false">IF($A319="","",IF(LEN(IF($J319="","título, ","")&amp;IF($C319="","responsável, ","")&amp;IF($D319="","tipo, ","")&amp;IF($I319="","canal, ","")&amp;IF($H319="","município, ","")&amp;IF(AND($U319="Sim",$E319=""),"empresa, ","")&amp;IF(AND($U319="Sim",$F319=""),"editor, ","")&amp;IF(AND($K319="Concluído",$N319=""),"data de conclusão, ","")&amp;IF(AND($K319="Concluído",$R319=""),"link, ","")&amp;IF(AND($K319="Concluído",$L319=""),"quem liberou, ",""))=0,"OK","Falta "&amp;LEFT(IF($J319="","título, ","")&amp;IF($C319="","responsável, ","")&amp;IF($D319="","tipo, ","")&amp;IF($I319="","canal, ","")&amp;IF($H319="","município, ","")&amp;IF(AND($U319="Sim",$E319=""),"empresa, ","")&amp;IF(AND($U319="Sim",$F319=""),"editor, ","")&amp;IF(AND($K319="Concluído",$N319=""),"data de conclusão, ","")&amp;IF(AND($K319="Concluído",$R319=""),"link, ","")&amp;IF(AND($K319="Concluído",$L319=""),"quem liberou, ",""),LEN(IF($J319="","título, ","")&amp;IF($C319="","responsável, ","")&amp;IF($D319="","tipo, ","")&amp;IF($I319="","canal, ","")&amp;IF($H319="","município, ","")&amp;IF(AND($U319="Sim",$E319=""),"empresa, ","")&amp;IF(AND($U319="Sim",$F319=""),"editor, ","")&amp;IF(AND($K319="Concluído",$N319=""),"data de conclusão, ","")&amp;IF(AND($K319="Concluído",$R319=""),"link, ","")&amp;IF(AND($K319="Concluído",$L319=""),"quem liberou, ",""))-2)))</f>
        <v/>
      </c>
      <c r="R319" s="38"/>
      <c r="S319" s="38"/>
      <c r="T319" s="38"/>
      <c r="U319" s="40" t="str">
        <f aca="false">IF($A319="","",IFERROR(INDEX(Listas!$E$5:$E$64,MATCH($D319,Listas!$C$5:$C$64,0)),"Não"))</f>
        <v/>
      </c>
    </row>
    <row r="320" customFormat="false" ht="15" hidden="false" customHeight="false" outlineLevel="0" collapsed="false">
      <c r="A320" s="37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9" t="str">
        <f aca="false">IF(OR($A320="",$D320=""),"",$A320+IFERROR(INDEX(Listas!$D$5:$D$64,MATCH($D320,Listas!$C$5:$C$64,0)),3))</f>
        <v/>
      </c>
      <c r="N320" s="37"/>
      <c r="O320" s="40" t="str">
        <f aca="false">IF($A320="","",IF($K320="Concluído","Sim","Não"))</f>
        <v/>
      </c>
      <c r="P320" s="40" t="str">
        <f aca="true">IF($A320="","",IF($K320="Stand-by","Stand-by",IF($K320="Concluído","Concluída",IF(AND($M320&lt;&gt;"",$M320&lt;TODAY()),"Atrasada","Em dia"))))</f>
        <v/>
      </c>
      <c r="Q320" s="40" t="str">
        <f aca="false">IF($A320="","",IF(LEN(IF($J320="","título, ","")&amp;IF($C320="","responsável, ","")&amp;IF($D320="","tipo, ","")&amp;IF($I320="","canal, ","")&amp;IF($H320="","município, ","")&amp;IF(AND($U320="Sim",$E320=""),"empresa, ","")&amp;IF(AND($U320="Sim",$F320=""),"editor, ","")&amp;IF(AND($K320="Concluído",$N320=""),"data de conclusão, ","")&amp;IF(AND($K320="Concluído",$R320=""),"link, ","")&amp;IF(AND($K320="Concluído",$L320=""),"quem liberou, ",""))=0,"OK","Falta "&amp;LEFT(IF($J320="","título, ","")&amp;IF($C320="","responsável, ","")&amp;IF($D320="","tipo, ","")&amp;IF($I320="","canal, ","")&amp;IF($H320="","município, ","")&amp;IF(AND($U320="Sim",$E320=""),"empresa, ","")&amp;IF(AND($U320="Sim",$F320=""),"editor, ","")&amp;IF(AND($K320="Concluído",$N320=""),"data de conclusão, ","")&amp;IF(AND($K320="Concluído",$R320=""),"link, ","")&amp;IF(AND($K320="Concluído",$L320=""),"quem liberou, ",""),LEN(IF($J320="","título, ","")&amp;IF($C320="","responsável, ","")&amp;IF($D320="","tipo, ","")&amp;IF($I320="","canal, ","")&amp;IF($H320="","município, ","")&amp;IF(AND($U320="Sim",$E320=""),"empresa, ","")&amp;IF(AND($U320="Sim",$F320=""),"editor, ","")&amp;IF(AND($K320="Concluído",$N320=""),"data de conclusão, ","")&amp;IF(AND($K320="Concluído",$R320=""),"link, ","")&amp;IF(AND($K320="Concluído",$L320=""),"quem liberou, ",""))-2)))</f>
        <v/>
      </c>
      <c r="R320" s="38"/>
      <c r="S320" s="38"/>
      <c r="T320" s="38"/>
      <c r="U320" s="40" t="str">
        <f aca="false">IF($A320="","",IFERROR(INDEX(Listas!$E$5:$E$64,MATCH($D320,Listas!$C$5:$C$64,0)),"Não"))</f>
        <v/>
      </c>
    </row>
    <row r="321" customFormat="false" ht="15" hidden="false" customHeight="false" outlineLevel="0" collapsed="false">
      <c r="A321" s="37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9" t="str">
        <f aca="false">IF(OR($A321="",$D321=""),"",$A321+IFERROR(INDEX(Listas!$D$5:$D$64,MATCH($D321,Listas!$C$5:$C$64,0)),3))</f>
        <v/>
      </c>
      <c r="N321" s="37"/>
      <c r="O321" s="40" t="str">
        <f aca="false">IF($A321="","",IF($K321="Concluído","Sim","Não"))</f>
        <v/>
      </c>
      <c r="P321" s="40" t="str">
        <f aca="true">IF($A321="","",IF($K321="Stand-by","Stand-by",IF($K321="Concluído","Concluída",IF(AND($M321&lt;&gt;"",$M321&lt;TODAY()),"Atrasada","Em dia"))))</f>
        <v/>
      </c>
      <c r="Q321" s="40" t="str">
        <f aca="false">IF($A321="","",IF(LEN(IF($J321="","título, ","")&amp;IF($C321="","responsável, ","")&amp;IF($D321="","tipo, ","")&amp;IF($I321="","canal, ","")&amp;IF($H321="","município, ","")&amp;IF(AND($U321="Sim",$E321=""),"empresa, ","")&amp;IF(AND($U321="Sim",$F321=""),"editor, ","")&amp;IF(AND($K321="Concluído",$N321=""),"data de conclusão, ","")&amp;IF(AND($K321="Concluído",$R321=""),"link, ","")&amp;IF(AND($K321="Concluído",$L321=""),"quem liberou, ",""))=0,"OK","Falta "&amp;LEFT(IF($J321="","título, ","")&amp;IF($C321="","responsável, ","")&amp;IF($D321="","tipo, ","")&amp;IF($I321="","canal, ","")&amp;IF($H321="","município, ","")&amp;IF(AND($U321="Sim",$E321=""),"empresa, ","")&amp;IF(AND($U321="Sim",$F321=""),"editor, ","")&amp;IF(AND($K321="Concluído",$N321=""),"data de conclusão, ","")&amp;IF(AND($K321="Concluído",$R321=""),"link, ","")&amp;IF(AND($K321="Concluído",$L321=""),"quem liberou, ",""),LEN(IF($J321="","título, ","")&amp;IF($C321="","responsável, ","")&amp;IF($D321="","tipo, ","")&amp;IF($I321="","canal, ","")&amp;IF($H321="","município, ","")&amp;IF(AND($U321="Sim",$E321=""),"empresa, ","")&amp;IF(AND($U321="Sim",$F321=""),"editor, ","")&amp;IF(AND($K321="Concluído",$N321=""),"data de conclusão, ","")&amp;IF(AND($K321="Concluído",$R321=""),"link, ","")&amp;IF(AND($K321="Concluído",$L321=""),"quem liberou, ",""))-2)))</f>
        <v/>
      </c>
      <c r="R321" s="38"/>
      <c r="S321" s="38"/>
      <c r="T321" s="38"/>
      <c r="U321" s="40" t="str">
        <f aca="false">IF($A321="","",IFERROR(INDEX(Listas!$E$5:$E$64,MATCH($D321,Listas!$C$5:$C$64,0)),"Não"))</f>
        <v/>
      </c>
    </row>
    <row r="322" customFormat="false" ht="15" hidden="false" customHeight="false" outlineLevel="0" collapsed="false">
      <c r="A322" s="37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9" t="str">
        <f aca="false">IF(OR($A322="",$D322=""),"",$A322+IFERROR(INDEX(Listas!$D$5:$D$64,MATCH($D322,Listas!$C$5:$C$64,0)),3))</f>
        <v/>
      </c>
      <c r="N322" s="37"/>
      <c r="O322" s="40" t="str">
        <f aca="false">IF($A322="","",IF($K322="Concluído","Sim","Não"))</f>
        <v/>
      </c>
      <c r="P322" s="40" t="str">
        <f aca="true">IF($A322="","",IF($K322="Stand-by","Stand-by",IF($K322="Concluído","Concluída",IF(AND($M322&lt;&gt;"",$M322&lt;TODAY()),"Atrasada","Em dia"))))</f>
        <v/>
      </c>
      <c r="Q322" s="40" t="str">
        <f aca="false">IF($A322="","",IF(LEN(IF($J322="","título, ","")&amp;IF($C322="","responsável, ","")&amp;IF($D322="","tipo, ","")&amp;IF($I322="","canal, ","")&amp;IF($H322="","município, ","")&amp;IF(AND($U322="Sim",$E322=""),"empresa, ","")&amp;IF(AND($U322="Sim",$F322=""),"editor, ","")&amp;IF(AND($K322="Concluído",$N322=""),"data de conclusão, ","")&amp;IF(AND($K322="Concluído",$R322=""),"link, ","")&amp;IF(AND($K322="Concluído",$L322=""),"quem liberou, ",""))=0,"OK","Falta "&amp;LEFT(IF($J322="","título, ","")&amp;IF($C322="","responsável, ","")&amp;IF($D322="","tipo, ","")&amp;IF($I322="","canal, ","")&amp;IF($H322="","município, ","")&amp;IF(AND($U322="Sim",$E322=""),"empresa, ","")&amp;IF(AND($U322="Sim",$F322=""),"editor, ","")&amp;IF(AND($K322="Concluído",$N322=""),"data de conclusão, ","")&amp;IF(AND($K322="Concluído",$R322=""),"link, ","")&amp;IF(AND($K322="Concluído",$L322=""),"quem liberou, ",""),LEN(IF($J322="","título, ","")&amp;IF($C322="","responsável, ","")&amp;IF($D322="","tipo, ","")&amp;IF($I322="","canal, ","")&amp;IF($H322="","município, ","")&amp;IF(AND($U322="Sim",$E322=""),"empresa, ","")&amp;IF(AND($U322="Sim",$F322=""),"editor, ","")&amp;IF(AND($K322="Concluído",$N322=""),"data de conclusão, ","")&amp;IF(AND($K322="Concluído",$R322=""),"link, ","")&amp;IF(AND($K322="Concluído",$L322=""),"quem liberou, ",""))-2)))</f>
        <v/>
      </c>
      <c r="R322" s="38"/>
      <c r="S322" s="38"/>
      <c r="T322" s="38"/>
      <c r="U322" s="40" t="str">
        <f aca="false">IF($A322="","",IFERROR(INDEX(Listas!$E$5:$E$64,MATCH($D322,Listas!$C$5:$C$64,0)),"Não"))</f>
        <v/>
      </c>
    </row>
    <row r="323" customFormat="false" ht="15" hidden="false" customHeight="false" outlineLevel="0" collapsed="false">
      <c r="A323" s="37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9" t="str">
        <f aca="false">IF(OR($A323="",$D323=""),"",$A323+IFERROR(INDEX(Listas!$D$5:$D$64,MATCH($D323,Listas!$C$5:$C$64,0)),3))</f>
        <v/>
      </c>
      <c r="N323" s="37"/>
      <c r="O323" s="40" t="str">
        <f aca="false">IF($A323="","",IF($K323="Concluído","Sim","Não"))</f>
        <v/>
      </c>
      <c r="P323" s="40" t="str">
        <f aca="true">IF($A323="","",IF($K323="Stand-by","Stand-by",IF($K323="Concluído","Concluída",IF(AND($M323&lt;&gt;"",$M323&lt;TODAY()),"Atrasada","Em dia"))))</f>
        <v/>
      </c>
      <c r="Q323" s="40" t="str">
        <f aca="false">IF($A323="","",IF(LEN(IF($J323="","título, ","")&amp;IF($C323="","responsável, ","")&amp;IF($D323="","tipo, ","")&amp;IF($I323="","canal, ","")&amp;IF($H323="","município, ","")&amp;IF(AND($U323="Sim",$E323=""),"empresa, ","")&amp;IF(AND($U323="Sim",$F323=""),"editor, ","")&amp;IF(AND($K323="Concluído",$N323=""),"data de conclusão, ","")&amp;IF(AND($K323="Concluído",$R323=""),"link, ","")&amp;IF(AND($K323="Concluído",$L323=""),"quem liberou, ",""))=0,"OK","Falta "&amp;LEFT(IF($J323="","título, ","")&amp;IF($C323="","responsável, ","")&amp;IF($D323="","tipo, ","")&amp;IF($I323="","canal, ","")&amp;IF($H323="","município, ","")&amp;IF(AND($U323="Sim",$E323=""),"empresa, ","")&amp;IF(AND($U323="Sim",$F323=""),"editor, ","")&amp;IF(AND($K323="Concluído",$N323=""),"data de conclusão, ","")&amp;IF(AND($K323="Concluído",$R323=""),"link, ","")&amp;IF(AND($K323="Concluído",$L323=""),"quem liberou, ",""),LEN(IF($J323="","título, ","")&amp;IF($C323="","responsável, ","")&amp;IF($D323="","tipo, ","")&amp;IF($I323="","canal, ","")&amp;IF($H323="","município, ","")&amp;IF(AND($U323="Sim",$E323=""),"empresa, ","")&amp;IF(AND($U323="Sim",$F323=""),"editor, ","")&amp;IF(AND($K323="Concluído",$N323=""),"data de conclusão, ","")&amp;IF(AND($K323="Concluído",$R323=""),"link, ","")&amp;IF(AND($K323="Concluído",$L323=""),"quem liberou, ",""))-2)))</f>
        <v/>
      </c>
      <c r="R323" s="38"/>
      <c r="S323" s="38"/>
      <c r="T323" s="38"/>
      <c r="U323" s="40" t="str">
        <f aca="false">IF($A323="","",IFERROR(INDEX(Listas!$E$5:$E$64,MATCH($D323,Listas!$C$5:$C$64,0)),"Não"))</f>
        <v/>
      </c>
    </row>
    <row r="324" customFormat="false" ht="15" hidden="false" customHeight="false" outlineLevel="0" collapsed="false">
      <c r="A324" s="37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9" t="str">
        <f aca="false">IF(OR($A324="",$D324=""),"",$A324+IFERROR(INDEX(Listas!$D$5:$D$64,MATCH($D324,Listas!$C$5:$C$64,0)),3))</f>
        <v/>
      </c>
      <c r="N324" s="37"/>
      <c r="O324" s="40" t="str">
        <f aca="false">IF($A324="","",IF($K324="Concluído","Sim","Não"))</f>
        <v/>
      </c>
      <c r="P324" s="40" t="str">
        <f aca="true">IF($A324="","",IF($K324="Stand-by","Stand-by",IF($K324="Concluído","Concluída",IF(AND($M324&lt;&gt;"",$M324&lt;TODAY()),"Atrasada","Em dia"))))</f>
        <v/>
      </c>
      <c r="Q324" s="40" t="str">
        <f aca="false">IF($A324="","",IF(LEN(IF($J324="","título, ","")&amp;IF($C324="","responsável, ","")&amp;IF($D324="","tipo, ","")&amp;IF($I324="","canal, ","")&amp;IF($H324="","município, ","")&amp;IF(AND($U324="Sim",$E324=""),"empresa, ","")&amp;IF(AND($U324="Sim",$F324=""),"editor, ","")&amp;IF(AND($K324="Concluído",$N324=""),"data de conclusão, ","")&amp;IF(AND($K324="Concluído",$R324=""),"link, ","")&amp;IF(AND($K324="Concluído",$L324=""),"quem liberou, ",""))=0,"OK","Falta "&amp;LEFT(IF($J324="","título, ","")&amp;IF($C324="","responsável, ","")&amp;IF($D324="","tipo, ","")&amp;IF($I324="","canal, ","")&amp;IF($H324="","município, ","")&amp;IF(AND($U324="Sim",$E324=""),"empresa, ","")&amp;IF(AND($U324="Sim",$F324=""),"editor, ","")&amp;IF(AND($K324="Concluído",$N324=""),"data de conclusão, ","")&amp;IF(AND($K324="Concluído",$R324=""),"link, ","")&amp;IF(AND($K324="Concluído",$L324=""),"quem liberou, ",""),LEN(IF($J324="","título, ","")&amp;IF($C324="","responsável, ","")&amp;IF($D324="","tipo, ","")&amp;IF($I324="","canal, ","")&amp;IF($H324="","município, ","")&amp;IF(AND($U324="Sim",$E324=""),"empresa, ","")&amp;IF(AND($U324="Sim",$F324=""),"editor, ","")&amp;IF(AND($K324="Concluído",$N324=""),"data de conclusão, ","")&amp;IF(AND($K324="Concluído",$R324=""),"link, ","")&amp;IF(AND($K324="Concluído",$L324=""),"quem liberou, ",""))-2)))</f>
        <v/>
      </c>
      <c r="R324" s="38"/>
      <c r="S324" s="38"/>
      <c r="T324" s="38"/>
      <c r="U324" s="40" t="str">
        <f aca="false">IF($A324="","",IFERROR(INDEX(Listas!$E$5:$E$64,MATCH($D324,Listas!$C$5:$C$64,0)),"Não"))</f>
        <v/>
      </c>
    </row>
    <row r="325" customFormat="false" ht="15" hidden="false" customHeight="false" outlineLevel="0" collapsed="false">
      <c r="A325" s="37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9" t="str">
        <f aca="false">IF(OR($A325="",$D325=""),"",$A325+IFERROR(INDEX(Listas!$D$5:$D$64,MATCH($D325,Listas!$C$5:$C$64,0)),3))</f>
        <v/>
      </c>
      <c r="N325" s="37"/>
      <c r="O325" s="40" t="str">
        <f aca="false">IF($A325="","",IF($K325="Concluído","Sim","Não"))</f>
        <v/>
      </c>
      <c r="P325" s="40" t="str">
        <f aca="true">IF($A325="","",IF($K325="Stand-by","Stand-by",IF($K325="Concluído","Concluída",IF(AND($M325&lt;&gt;"",$M325&lt;TODAY()),"Atrasada","Em dia"))))</f>
        <v/>
      </c>
      <c r="Q325" s="40" t="str">
        <f aca="false">IF($A325="","",IF(LEN(IF($J325="","título, ","")&amp;IF($C325="","responsável, ","")&amp;IF($D325="","tipo, ","")&amp;IF($I325="","canal, ","")&amp;IF($H325="","município, ","")&amp;IF(AND($U325="Sim",$E325=""),"empresa, ","")&amp;IF(AND($U325="Sim",$F325=""),"editor, ","")&amp;IF(AND($K325="Concluído",$N325=""),"data de conclusão, ","")&amp;IF(AND($K325="Concluído",$R325=""),"link, ","")&amp;IF(AND($K325="Concluído",$L325=""),"quem liberou, ",""))=0,"OK","Falta "&amp;LEFT(IF($J325="","título, ","")&amp;IF($C325="","responsável, ","")&amp;IF($D325="","tipo, ","")&amp;IF($I325="","canal, ","")&amp;IF($H325="","município, ","")&amp;IF(AND($U325="Sim",$E325=""),"empresa, ","")&amp;IF(AND($U325="Sim",$F325=""),"editor, ","")&amp;IF(AND($K325="Concluído",$N325=""),"data de conclusão, ","")&amp;IF(AND($K325="Concluído",$R325=""),"link, ","")&amp;IF(AND($K325="Concluído",$L325=""),"quem liberou, ",""),LEN(IF($J325="","título, ","")&amp;IF($C325="","responsável, ","")&amp;IF($D325="","tipo, ","")&amp;IF($I325="","canal, ","")&amp;IF($H325="","município, ","")&amp;IF(AND($U325="Sim",$E325=""),"empresa, ","")&amp;IF(AND($U325="Sim",$F325=""),"editor, ","")&amp;IF(AND($K325="Concluído",$N325=""),"data de conclusão, ","")&amp;IF(AND($K325="Concluído",$R325=""),"link, ","")&amp;IF(AND($K325="Concluído",$L325=""),"quem liberou, ",""))-2)))</f>
        <v/>
      </c>
      <c r="R325" s="38"/>
      <c r="S325" s="38"/>
      <c r="T325" s="38"/>
      <c r="U325" s="40" t="str">
        <f aca="false">IF($A325="","",IFERROR(INDEX(Listas!$E$5:$E$64,MATCH($D325,Listas!$C$5:$C$64,0)),"Não"))</f>
        <v/>
      </c>
    </row>
    <row r="326" customFormat="false" ht="15" hidden="false" customHeight="false" outlineLevel="0" collapsed="false">
      <c r="A326" s="37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9" t="str">
        <f aca="false">IF(OR($A326="",$D326=""),"",$A326+IFERROR(INDEX(Listas!$D$5:$D$64,MATCH($D326,Listas!$C$5:$C$64,0)),3))</f>
        <v/>
      </c>
      <c r="N326" s="37"/>
      <c r="O326" s="40" t="str">
        <f aca="false">IF($A326="","",IF($K326="Concluído","Sim","Não"))</f>
        <v/>
      </c>
      <c r="P326" s="40" t="str">
        <f aca="true">IF($A326="","",IF($K326="Stand-by","Stand-by",IF($K326="Concluído","Concluída",IF(AND($M326&lt;&gt;"",$M326&lt;TODAY()),"Atrasada","Em dia"))))</f>
        <v/>
      </c>
      <c r="Q326" s="40" t="str">
        <f aca="false">IF($A326="","",IF(LEN(IF($J326="","título, ","")&amp;IF($C326="","responsável, ","")&amp;IF($D326="","tipo, ","")&amp;IF($I326="","canal, ","")&amp;IF($H326="","município, ","")&amp;IF(AND($U326="Sim",$E326=""),"empresa, ","")&amp;IF(AND($U326="Sim",$F326=""),"editor, ","")&amp;IF(AND($K326="Concluído",$N326=""),"data de conclusão, ","")&amp;IF(AND($K326="Concluído",$R326=""),"link, ","")&amp;IF(AND($K326="Concluído",$L326=""),"quem liberou, ",""))=0,"OK","Falta "&amp;LEFT(IF($J326="","título, ","")&amp;IF($C326="","responsável, ","")&amp;IF($D326="","tipo, ","")&amp;IF($I326="","canal, ","")&amp;IF($H326="","município, ","")&amp;IF(AND($U326="Sim",$E326=""),"empresa, ","")&amp;IF(AND($U326="Sim",$F326=""),"editor, ","")&amp;IF(AND($K326="Concluído",$N326=""),"data de conclusão, ","")&amp;IF(AND($K326="Concluído",$R326=""),"link, ","")&amp;IF(AND($K326="Concluído",$L326=""),"quem liberou, ",""),LEN(IF($J326="","título, ","")&amp;IF($C326="","responsável, ","")&amp;IF($D326="","tipo, ","")&amp;IF($I326="","canal, ","")&amp;IF($H326="","município, ","")&amp;IF(AND($U326="Sim",$E326=""),"empresa, ","")&amp;IF(AND($U326="Sim",$F326=""),"editor, ","")&amp;IF(AND($K326="Concluído",$N326=""),"data de conclusão, ","")&amp;IF(AND($K326="Concluído",$R326=""),"link, ","")&amp;IF(AND($K326="Concluído",$L326=""),"quem liberou, ",""))-2)))</f>
        <v/>
      </c>
      <c r="R326" s="38"/>
      <c r="S326" s="38"/>
      <c r="T326" s="38"/>
      <c r="U326" s="40" t="str">
        <f aca="false">IF($A326="","",IFERROR(INDEX(Listas!$E$5:$E$64,MATCH($D326,Listas!$C$5:$C$64,0)),"Não"))</f>
        <v/>
      </c>
    </row>
    <row r="327" customFormat="false" ht="15" hidden="false" customHeight="false" outlineLevel="0" collapsed="false">
      <c r="A327" s="37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9" t="str">
        <f aca="false">IF(OR($A327="",$D327=""),"",$A327+IFERROR(INDEX(Listas!$D$5:$D$64,MATCH($D327,Listas!$C$5:$C$64,0)),3))</f>
        <v/>
      </c>
      <c r="N327" s="37"/>
      <c r="O327" s="40" t="str">
        <f aca="false">IF($A327="","",IF($K327="Concluído","Sim","Não"))</f>
        <v/>
      </c>
      <c r="P327" s="40" t="str">
        <f aca="true">IF($A327="","",IF($K327="Stand-by","Stand-by",IF($K327="Concluído","Concluída",IF(AND($M327&lt;&gt;"",$M327&lt;TODAY()),"Atrasada","Em dia"))))</f>
        <v/>
      </c>
      <c r="Q327" s="40" t="str">
        <f aca="false">IF($A327="","",IF(LEN(IF($J327="","título, ","")&amp;IF($C327="","responsável, ","")&amp;IF($D327="","tipo, ","")&amp;IF($I327="","canal, ","")&amp;IF($H327="","município, ","")&amp;IF(AND($U327="Sim",$E327=""),"empresa, ","")&amp;IF(AND($U327="Sim",$F327=""),"editor, ","")&amp;IF(AND($K327="Concluído",$N327=""),"data de conclusão, ","")&amp;IF(AND($K327="Concluído",$R327=""),"link, ","")&amp;IF(AND($K327="Concluído",$L327=""),"quem liberou, ",""))=0,"OK","Falta "&amp;LEFT(IF($J327="","título, ","")&amp;IF($C327="","responsável, ","")&amp;IF($D327="","tipo, ","")&amp;IF($I327="","canal, ","")&amp;IF($H327="","município, ","")&amp;IF(AND($U327="Sim",$E327=""),"empresa, ","")&amp;IF(AND($U327="Sim",$F327=""),"editor, ","")&amp;IF(AND($K327="Concluído",$N327=""),"data de conclusão, ","")&amp;IF(AND($K327="Concluído",$R327=""),"link, ","")&amp;IF(AND($K327="Concluído",$L327=""),"quem liberou, ",""),LEN(IF($J327="","título, ","")&amp;IF($C327="","responsável, ","")&amp;IF($D327="","tipo, ","")&amp;IF($I327="","canal, ","")&amp;IF($H327="","município, ","")&amp;IF(AND($U327="Sim",$E327=""),"empresa, ","")&amp;IF(AND($U327="Sim",$F327=""),"editor, ","")&amp;IF(AND($K327="Concluído",$N327=""),"data de conclusão, ","")&amp;IF(AND($K327="Concluído",$R327=""),"link, ","")&amp;IF(AND($K327="Concluído",$L327=""),"quem liberou, ",""))-2)))</f>
        <v/>
      </c>
      <c r="R327" s="38"/>
      <c r="S327" s="38"/>
      <c r="T327" s="38"/>
      <c r="U327" s="40" t="str">
        <f aca="false">IF($A327="","",IFERROR(INDEX(Listas!$E$5:$E$64,MATCH($D327,Listas!$C$5:$C$64,0)),"Não"))</f>
        <v/>
      </c>
    </row>
    <row r="328" customFormat="false" ht="15" hidden="false" customHeight="false" outlineLevel="0" collapsed="false">
      <c r="A328" s="37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9" t="str">
        <f aca="false">IF(OR($A328="",$D328=""),"",$A328+IFERROR(INDEX(Listas!$D$5:$D$64,MATCH($D328,Listas!$C$5:$C$64,0)),3))</f>
        <v/>
      </c>
      <c r="N328" s="37"/>
      <c r="O328" s="40" t="str">
        <f aca="false">IF($A328="","",IF($K328="Concluído","Sim","Não"))</f>
        <v/>
      </c>
      <c r="P328" s="40" t="str">
        <f aca="true">IF($A328="","",IF($K328="Stand-by","Stand-by",IF($K328="Concluído","Concluída",IF(AND($M328&lt;&gt;"",$M328&lt;TODAY()),"Atrasada","Em dia"))))</f>
        <v/>
      </c>
      <c r="Q328" s="40" t="str">
        <f aca="false">IF($A328="","",IF(LEN(IF($J328="","título, ","")&amp;IF($C328="","responsável, ","")&amp;IF($D328="","tipo, ","")&amp;IF($I328="","canal, ","")&amp;IF($H328="","município, ","")&amp;IF(AND($U328="Sim",$E328=""),"empresa, ","")&amp;IF(AND($U328="Sim",$F328=""),"editor, ","")&amp;IF(AND($K328="Concluído",$N328=""),"data de conclusão, ","")&amp;IF(AND($K328="Concluído",$R328=""),"link, ","")&amp;IF(AND($K328="Concluído",$L328=""),"quem liberou, ",""))=0,"OK","Falta "&amp;LEFT(IF($J328="","título, ","")&amp;IF($C328="","responsável, ","")&amp;IF($D328="","tipo, ","")&amp;IF($I328="","canal, ","")&amp;IF($H328="","município, ","")&amp;IF(AND($U328="Sim",$E328=""),"empresa, ","")&amp;IF(AND($U328="Sim",$F328=""),"editor, ","")&amp;IF(AND($K328="Concluído",$N328=""),"data de conclusão, ","")&amp;IF(AND($K328="Concluído",$R328=""),"link, ","")&amp;IF(AND($K328="Concluído",$L328=""),"quem liberou, ",""),LEN(IF($J328="","título, ","")&amp;IF($C328="","responsável, ","")&amp;IF($D328="","tipo, ","")&amp;IF($I328="","canal, ","")&amp;IF($H328="","município, ","")&amp;IF(AND($U328="Sim",$E328=""),"empresa, ","")&amp;IF(AND($U328="Sim",$F328=""),"editor, ","")&amp;IF(AND($K328="Concluído",$N328=""),"data de conclusão, ","")&amp;IF(AND($K328="Concluído",$R328=""),"link, ","")&amp;IF(AND($K328="Concluído",$L328=""),"quem liberou, ",""))-2)))</f>
        <v/>
      </c>
      <c r="R328" s="38"/>
      <c r="S328" s="38"/>
      <c r="T328" s="38"/>
      <c r="U328" s="40" t="str">
        <f aca="false">IF($A328="","",IFERROR(INDEX(Listas!$E$5:$E$64,MATCH($D328,Listas!$C$5:$C$64,0)),"Não"))</f>
        <v/>
      </c>
    </row>
    <row r="329" customFormat="false" ht="15" hidden="false" customHeight="false" outlineLevel="0" collapsed="false">
      <c r="A329" s="37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9" t="str">
        <f aca="false">IF(OR($A329="",$D329=""),"",$A329+IFERROR(INDEX(Listas!$D$5:$D$64,MATCH($D329,Listas!$C$5:$C$64,0)),3))</f>
        <v/>
      </c>
      <c r="N329" s="37"/>
      <c r="O329" s="40" t="str">
        <f aca="false">IF($A329="","",IF($K329="Concluído","Sim","Não"))</f>
        <v/>
      </c>
      <c r="P329" s="40" t="str">
        <f aca="true">IF($A329="","",IF($K329="Stand-by","Stand-by",IF($K329="Concluído","Concluída",IF(AND($M329&lt;&gt;"",$M329&lt;TODAY()),"Atrasada","Em dia"))))</f>
        <v/>
      </c>
      <c r="Q329" s="40" t="str">
        <f aca="false">IF($A329="","",IF(LEN(IF($J329="","título, ","")&amp;IF($C329="","responsável, ","")&amp;IF($D329="","tipo, ","")&amp;IF($I329="","canal, ","")&amp;IF($H329="","município, ","")&amp;IF(AND($U329="Sim",$E329=""),"empresa, ","")&amp;IF(AND($U329="Sim",$F329=""),"editor, ","")&amp;IF(AND($K329="Concluído",$N329=""),"data de conclusão, ","")&amp;IF(AND($K329="Concluído",$R329=""),"link, ","")&amp;IF(AND($K329="Concluído",$L329=""),"quem liberou, ",""))=0,"OK","Falta "&amp;LEFT(IF($J329="","título, ","")&amp;IF($C329="","responsável, ","")&amp;IF($D329="","tipo, ","")&amp;IF($I329="","canal, ","")&amp;IF($H329="","município, ","")&amp;IF(AND($U329="Sim",$E329=""),"empresa, ","")&amp;IF(AND($U329="Sim",$F329=""),"editor, ","")&amp;IF(AND($K329="Concluído",$N329=""),"data de conclusão, ","")&amp;IF(AND($K329="Concluído",$R329=""),"link, ","")&amp;IF(AND($K329="Concluído",$L329=""),"quem liberou, ",""),LEN(IF($J329="","título, ","")&amp;IF($C329="","responsável, ","")&amp;IF($D329="","tipo, ","")&amp;IF($I329="","canal, ","")&amp;IF($H329="","município, ","")&amp;IF(AND($U329="Sim",$E329=""),"empresa, ","")&amp;IF(AND($U329="Sim",$F329=""),"editor, ","")&amp;IF(AND($K329="Concluído",$N329=""),"data de conclusão, ","")&amp;IF(AND($K329="Concluído",$R329=""),"link, ","")&amp;IF(AND($K329="Concluído",$L329=""),"quem liberou, ",""))-2)))</f>
        <v/>
      </c>
      <c r="R329" s="38"/>
      <c r="S329" s="38"/>
      <c r="T329" s="38"/>
      <c r="U329" s="40" t="str">
        <f aca="false">IF($A329="","",IFERROR(INDEX(Listas!$E$5:$E$64,MATCH($D329,Listas!$C$5:$C$64,0)),"Não"))</f>
        <v/>
      </c>
    </row>
    <row r="330" customFormat="false" ht="15" hidden="false" customHeight="false" outlineLevel="0" collapsed="false">
      <c r="A330" s="37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9" t="str">
        <f aca="false">IF(OR($A330="",$D330=""),"",$A330+IFERROR(INDEX(Listas!$D$5:$D$64,MATCH($D330,Listas!$C$5:$C$64,0)),3))</f>
        <v/>
      </c>
      <c r="N330" s="37"/>
      <c r="O330" s="40" t="str">
        <f aca="false">IF($A330="","",IF($K330="Concluído","Sim","Não"))</f>
        <v/>
      </c>
      <c r="P330" s="40" t="str">
        <f aca="true">IF($A330="","",IF($K330="Stand-by","Stand-by",IF($K330="Concluído","Concluída",IF(AND($M330&lt;&gt;"",$M330&lt;TODAY()),"Atrasada","Em dia"))))</f>
        <v/>
      </c>
      <c r="Q330" s="40" t="str">
        <f aca="false">IF($A330="","",IF(LEN(IF($J330="","título, ","")&amp;IF($C330="","responsável, ","")&amp;IF($D330="","tipo, ","")&amp;IF($I330="","canal, ","")&amp;IF($H330="","município, ","")&amp;IF(AND($U330="Sim",$E330=""),"empresa, ","")&amp;IF(AND($U330="Sim",$F330=""),"editor, ","")&amp;IF(AND($K330="Concluído",$N330=""),"data de conclusão, ","")&amp;IF(AND($K330="Concluído",$R330=""),"link, ","")&amp;IF(AND($K330="Concluído",$L330=""),"quem liberou, ",""))=0,"OK","Falta "&amp;LEFT(IF($J330="","título, ","")&amp;IF($C330="","responsável, ","")&amp;IF($D330="","tipo, ","")&amp;IF($I330="","canal, ","")&amp;IF($H330="","município, ","")&amp;IF(AND($U330="Sim",$E330=""),"empresa, ","")&amp;IF(AND($U330="Sim",$F330=""),"editor, ","")&amp;IF(AND($K330="Concluído",$N330=""),"data de conclusão, ","")&amp;IF(AND($K330="Concluído",$R330=""),"link, ","")&amp;IF(AND($K330="Concluído",$L330=""),"quem liberou, ",""),LEN(IF($J330="","título, ","")&amp;IF($C330="","responsável, ","")&amp;IF($D330="","tipo, ","")&amp;IF($I330="","canal, ","")&amp;IF($H330="","município, ","")&amp;IF(AND($U330="Sim",$E330=""),"empresa, ","")&amp;IF(AND($U330="Sim",$F330=""),"editor, ","")&amp;IF(AND($K330="Concluído",$N330=""),"data de conclusão, ","")&amp;IF(AND($K330="Concluído",$R330=""),"link, ","")&amp;IF(AND($K330="Concluído",$L330=""),"quem liberou, ",""))-2)))</f>
        <v/>
      </c>
      <c r="R330" s="38"/>
      <c r="S330" s="38"/>
      <c r="T330" s="38"/>
      <c r="U330" s="40" t="str">
        <f aca="false">IF($A330="","",IFERROR(INDEX(Listas!$E$5:$E$64,MATCH($D330,Listas!$C$5:$C$64,0)),"Não"))</f>
        <v/>
      </c>
    </row>
    <row r="331" customFormat="false" ht="15" hidden="false" customHeight="false" outlineLevel="0" collapsed="false">
      <c r="A331" s="37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9" t="str">
        <f aca="false">IF(OR($A331="",$D331=""),"",$A331+IFERROR(INDEX(Listas!$D$5:$D$64,MATCH($D331,Listas!$C$5:$C$64,0)),3))</f>
        <v/>
      </c>
      <c r="N331" s="37"/>
      <c r="O331" s="40" t="str">
        <f aca="false">IF($A331="","",IF($K331="Concluído","Sim","Não"))</f>
        <v/>
      </c>
      <c r="P331" s="40" t="str">
        <f aca="true">IF($A331="","",IF($K331="Stand-by","Stand-by",IF($K331="Concluído","Concluída",IF(AND($M331&lt;&gt;"",$M331&lt;TODAY()),"Atrasada","Em dia"))))</f>
        <v/>
      </c>
      <c r="Q331" s="40" t="str">
        <f aca="false">IF($A331="","",IF(LEN(IF($J331="","título, ","")&amp;IF($C331="","responsável, ","")&amp;IF($D331="","tipo, ","")&amp;IF($I331="","canal, ","")&amp;IF($H331="","município, ","")&amp;IF(AND($U331="Sim",$E331=""),"empresa, ","")&amp;IF(AND($U331="Sim",$F331=""),"editor, ","")&amp;IF(AND($K331="Concluído",$N331=""),"data de conclusão, ","")&amp;IF(AND($K331="Concluído",$R331=""),"link, ","")&amp;IF(AND($K331="Concluído",$L331=""),"quem liberou, ",""))=0,"OK","Falta "&amp;LEFT(IF($J331="","título, ","")&amp;IF($C331="","responsável, ","")&amp;IF($D331="","tipo, ","")&amp;IF($I331="","canal, ","")&amp;IF($H331="","município, ","")&amp;IF(AND($U331="Sim",$E331=""),"empresa, ","")&amp;IF(AND($U331="Sim",$F331=""),"editor, ","")&amp;IF(AND($K331="Concluído",$N331=""),"data de conclusão, ","")&amp;IF(AND($K331="Concluído",$R331=""),"link, ","")&amp;IF(AND($K331="Concluído",$L331=""),"quem liberou, ",""),LEN(IF($J331="","título, ","")&amp;IF($C331="","responsável, ","")&amp;IF($D331="","tipo, ","")&amp;IF($I331="","canal, ","")&amp;IF($H331="","município, ","")&amp;IF(AND($U331="Sim",$E331=""),"empresa, ","")&amp;IF(AND($U331="Sim",$F331=""),"editor, ","")&amp;IF(AND($K331="Concluído",$N331=""),"data de conclusão, ","")&amp;IF(AND($K331="Concluído",$R331=""),"link, ","")&amp;IF(AND($K331="Concluído",$L331=""),"quem liberou, ",""))-2)))</f>
        <v/>
      </c>
      <c r="R331" s="38"/>
      <c r="S331" s="38"/>
      <c r="T331" s="38"/>
      <c r="U331" s="40" t="str">
        <f aca="false">IF($A331="","",IFERROR(INDEX(Listas!$E$5:$E$64,MATCH($D331,Listas!$C$5:$C$64,0)),"Não"))</f>
        <v/>
      </c>
    </row>
    <row r="332" customFormat="false" ht="15" hidden="false" customHeight="false" outlineLevel="0" collapsed="false">
      <c r="A332" s="37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9" t="str">
        <f aca="false">IF(OR($A332="",$D332=""),"",$A332+IFERROR(INDEX(Listas!$D$5:$D$64,MATCH($D332,Listas!$C$5:$C$64,0)),3))</f>
        <v/>
      </c>
      <c r="N332" s="37"/>
      <c r="O332" s="40" t="str">
        <f aca="false">IF($A332="","",IF($K332="Concluído","Sim","Não"))</f>
        <v/>
      </c>
      <c r="P332" s="40" t="str">
        <f aca="true">IF($A332="","",IF($K332="Stand-by","Stand-by",IF($K332="Concluído","Concluída",IF(AND($M332&lt;&gt;"",$M332&lt;TODAY()),"Atrasada","Em dia"))))</f>
        <v/>
      </c>
      <c r="Q332" s="40" t="str">
        <f aca="false">IF($A332="","",IF(LEN(IF($J332="","título, ","")&amp;IF($C332="","responsável, ","")&amp;IF($D332="","tipo, ","")&amp;IF($I332="","canal, ","")&amp;IF($H332="","município, ","")&amp;IF(AND($U332="Sim",$E332=""),"empresa, ","")&amp;IF(AND($U332="Sim",$F332=""),"editor, ","")&amp;IF(AND($K332="Concluído",$N332=""),"data de conclusão, ","")&amp;IF(AND($K332="Concluído",$R332=""),"link, ","")&amp;IF(AND($K332="Concluído",$L332=""),"quem liberou, ",""))=0,"OK","Falta "&amp;LEFT(IF($J332="","título, ","")&amp;IF($C332="","responsável, ","")&amp;IF($D332="","tipo, ","")&amp;IF($I332="","canal, ","")&amp;IF($H332="","município, ","")&amp;IF(AND($U332="Sim",$E332=""),"empresa, ","")&amp;IF(AND($U332="Sim",$F332=""),"editor, ","")&amp;IF(AND($K332="Concluído",$N332=""),"data de conclusão, ","")&amp;IF(AND($K332="Concluído",$R332=""),"link, ","")&amp;IF(AND($K332="Concluído",$L332=""),"quem liberou, ",""),LEN(IF($J332="","título, ","")&amp;IF($C332="","responsável, ","")&amp;IF($D332="","tipo, ","")&amp;IF($I332="","canal, ","")&amp;IF($H332="","município, ","")&amp;IF(AND($U332="Sim",$E332=""),"empresa, ","")&amp;IF(AND($U332="Sim",$F332=""),"editor, ","")&amp;IF(AND($K332="Concluído",$N332=""),"data de conclusão, ","")&amp;IF(AND($K332="Concluído",$R332=""),"link, ","")&amp;IF(AND($K332="Concluído",$L332=""),"quem liberou, ",""))-2)))</f>
        <v/>
      </c>
      <c r="R332" s="38"/>
      <c r="S332" s="38"/>
      <c r="T332" s="38"/>
      <c r="U332" s="40" t="str">
        <f aca="false">IF($A332="","",IFERROR(INDEX(Listas!$E$5:$E$64,MATCH($D332,Listas!$C$5:$C$64,0)),"Não"))</f>
        <v/>
      </c>
    </row>
    <row r="333" customFormat="false" ht="15" hidden="false" customHeight="false" outlineLevel="0" collapsed="false">
      <c r="A333" s="37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9" t="str">
        <f aca="false">IF(OR($A333="",$D333=""),"",$A333+IFERROR(INDEX(Listas!$D$5:$D$64,MATCH($D333,Listas!$C$5:$C$64,0)),3))</f>
        <v/>
      </c>
      <c r="N333" s="37"/>
      <c r="O333" s="40" t="str">
        <f aca="false">IF($A333="","",IF($K333="Concluído","Sim","Não"))</f>
        <v/>
      </c>
      <c r="P333" s="40" t="str">
        <f aca="true">IF($A333="","",IF($K333="Stand-by","Stand-by",IF($K333="Concluído","Concluída",IF(AND($M333&lt;&gt;"",$M333&lt;TODAY()),"Atrasada","Em dia"))))</f>
        <v/>
      </c>
      <c r="Q333" s="40" t="str">
        <f aca="false">IF($A333="","",IF(LEN(IF($J333="","título, ","")&amp;IF($C333="","responsável, ","")&amp;IF($D333="","tipo, ","")&amp;IF($I333="","canal, ","")&amp;IF($H333="","município, ","")&amp;IF(AND($U333="Sim",$E333=""),"empresa, ","")&amp;IF(AND($U333="Sim",$F333=""),"editor, ","")&amp;IF(AND($K333="Concluído",$N333=""),"data de conclusão, ","")&amp;IF(AND($K333="Concluído",$R333=""),"link, ","")&amp;IF(AND($K333="Concluído",$L333=""),"quem liberou, ",""))=0,"OK","Falta "&amp;LEFT(IF($J333="","título, ","")&amp;IF($C333="","responsável, ","")&amp;IF($D333="","tipo, ","")&amp;IF($I333="","canal, ","")&amp;IF($H333="","município, ","")&amp;IF(AND($U333="Sim",$E333=""),"empresa, ","")&amp;IF(AND($U333="Sim",$F333=""),"editor, ","")&amp;IF(AND($K333="Concluído",$N333=""),"data de conclusão, ","")&amp;IF(AND($K333="Concluído",$R333=""),"link, ","")&amp;IF(AND($K333="Concluído",$L333=""),"quem liberou, ",""),LEN(IF($J333="","título, ","")&amp;IF($C333="","responsável, ","")&amp;IF($D333="","tipo, ","")&amp;IF($I333="","canal, ","")&amp;IF($H333="","município, ","")&amp;IF(AND($U333="Sim",$E333=""),"empresa, ","")&amp;IF(AND($U333="Sim",$F333=""),"editor, ","")&amp;IF(AND($K333="Concluído",$N333=""),"data de conclusão, ","")&amp;IF(AND($K333="Concluído",$R333=""),"link, ","")&amp;IF(AND($K333="Concluído",$L333=""),"quem liberou, ",""))-2)))</f>
        <v/>
      </c>
      <c r="R333" s="38"/>
      <c r="S333" s="38"/>
      <c r="T333" s="38"/>
      <c r="U333" s="40" t="str">
        <f aca="false">IF($A333="","",IFERROR(INDEX(Listas!$E$5:$E$64,MATCH($D333,Listas!$C$5:$C$64,0)),"Não"))</f>
        <v/>
      </c>
    </row>
    <row r="334" customFormat="false" ht="15" hidden="false" customHeight="false" outlineLevel="0" collapsed="false">
      <c r="A334" s="37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9" t="str">
        <f aca="false">IF(OR($A334="",$D334=""),"",$A334+IFERROR(INDEX(Listas!$D$5:$D$64,MATCH($D334,Listas!$C$5:$C$64,0)),3))</f>
        <v/>
      </c>
      <c r="N334" s="37"/>
      <c r="O334" s="40" t="str">
        <f aca="false">IF($A334="","",IF($K334="Concluído","Sim","Não"))</f>
        <v/>
      </c>
      <c r="P334" s="40" t="str">
        <f aca="true">IF($A334="","",IF($K334="Stand-by","Stand-by",IF($K334="Concluído","Concluída",IF(AND($M334&lt;&gt;"",$M334&lt;TODAY()),"Atrasada","Em dia"))))</f>
        <v/>
      </c>
      <c r="Q334" s="40" t="str">
        <f aca="false">IF($A334="","",IF(LEN(IF($J334="","título, ","")&amp;IF($C334="","responsável, ","")&amp;IF($D334="","tipo, ","")&amp;IF($I334="","canal, ","")&amp;IF($H334="","município, ","")&amp;IF(AND($U334="Sim",$E334=""),"empresa, ","")&amp;IF(AND($U334="Sim",$F334=""),"editor, ","")&amp;IF(AND($K334="Concluído",$N334=""),"data de conclusão, ","")&amp;IF(AND($K334="Concluído",$R334=""),"link, ","")&amp;IF(AND($K334="Concluído",$L334=""),"quem liberou, ",""))=0,"OK","Falta "&amp;LEFT(IF($J334="","título, ","")&amp;IF($C334="","responsável, ","")&amp;IF($D334="","tipo, ","")&amp;IF($I334="","canal, ","")&amp;IF($H334="","município, ","")&amp;IF(AND($U334="Sim",$E334=""),"empresa, ","")&amp;IF(AND($U334="Sim",$F334=""),"editor, ","")&amp;IF(AND($K334="Concluído",$N334=""),"data de conclusão, ","")&amp;IF(AND($K334="Concluído",$R334=""),"link, ","")&amp;IF(AND($K334="Concluído",$L334=""),"quem liberou, ",""),LEN(IF($J334="","título, ","")&amp;IF($C334="","responsável, ","")&amp;IF($D334="","tipo, ","")&amp;IF($I334="","canal, ","")&amp;IF($H334="","município, ","")&amp;IF(AND($U334="Sim",$E334=""),"empresa, ","")&amp;IF(AND($U334="Sim",$F334=""),"editor, ","")&amp;IF(AND($K334="Concluído",$N334=""),"data de conclusão, ","")&amp;IF(AND($K334="Concluído",$R334=""),"link, ","")&amp;IF(AND($K334="Concluído",$L334=""),"quem liberou, ",""))-2)))</f>
        <v/>
      </c>
      <c r="R334" s="38"/>
      <c r="S334" s="38"/>
      <c r="T334" s="38"/>
      <c r="U334" s="40" t="str">
        <f aca="false">IF($A334="","",IFERROR(INDEX(Listas!$E$5:$E$64,MATCH($D334,Listas!$C$5:$C$64,0)),"Não"))</f>
        <v/>
      </c>
    </row>
    <row r="335" customFormat="false" ht="15" hidden="false" customHeight="false" outlineLevel="0" collapsed="false">
      <c r="A335" s="37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9" t="str">
        <f aca="false">IF(OR($A335="",$D335=""),"",$A335+IFERROR(INDEX(Listas!$D$5:$D$64,MATCH($D335,Listas!$C$5:$C$64,0)),3))</f>
        <v/>
      </c>
      <c r="N335" s="37"/>
      <c r="O335" s="40" t="str">
        <f aca="false">IF($A335="","",IF($K335="Concluído","Sim","Não"))</f>
        <v/>
      </c>
      <c r="P335" s="40" t="str">
        <f aca="true">IF($A335="","",IF($K335="Stand-by","Stand-by",IF($K335="Concluído","Concluída",IF(AND($M335&lt;&gt;"",$M335&lt;TODAY()),"Atrasada","Em dia"))))</f>
        <v/>
      </c>
      <c r="Q335" s="40" t="str">
        <f aca="false">IF($A335="","",IF(LEN(IF($J335="","título, ","")&amp;IF($C335="","responsável, ","")&amp;IF($D335="","tipo, ","")&amp;IF($I335="","canal, ","")&amp;IF($H335="","município, ","")&amp;IF(AND($U335="Sim",$E335=""),"empresa, ","")&amp;IF(AND($U335="Sim",$F335=""),"editor, ","")&amp;IF(AND($K335="Concluído",$N335=""),"data de conclusão, ","")&amp;IF(AND($K335="Concluído",$R335=""),"link, ","")&amp;IF(AND($K335="Concluído",$L335=""),"quem liberou, ",""))=0,"OK","Falta "&amp;LEFT(IF($J335="","título, ","")&amp;IF($C335="","responsável, ","")&amp;IF($D335="","tipo, ","")&amp;IF($I335="","canal, ","")&amp;IF($H335="","município, ","")&amp;IF(AND($U335="Sim",$E335=""),"empresa, ","")&amp;IF(AND($U335="Sim",$F335=""),"editor, ","")&amp;IF(AND($K335="Concluído",$N335=""),"data de conclusão, ","")&amp;IF(AND($K335="Concluído",$R335=""),"link, ","")&amp;IF(AND($K335="Concluído",$L335=""),"quem liberou, ",""),LEN(IF($J335="","título, ","")&amp;IF($C335="","responsável, ","")&amp;IF($D335="","tipo, ","")&amp;IF($I335="","canal, ","")&amp;IF($H335="","município, ","")&amp;IF(AND($U335="Sim",$E335=""),"empresa, ","")&amp;IF(AND($U335="Sim",$F335=""),"editor, ","")&amp;IF(AND($K335="Concluído",$N335=""),"data de conclusão, ","")&amp;IF(AND($K335="Concluído",$R335=""),"link, ","")&amp;IF(AND($K335="Concluído",$L335=""),"quem liberou, ",""))-2)))</f>
        <v/>
      </c>
      <c r="R335" s="38"/>
      <c r="S335" s="38"/>
      <c r="T335" s="38"/>
      <c r="U335" s="40" t="str">
        <f aca="false">IF($A335="","",IFERROR(INDEX(Listas!$E$5:$E$64,MATCH($D335,Listas!$C$5:$C$64,0)),"Não"))</f>
        <v/>
      </c>
    </row>
    <row r="336" customFormat="false" ht="15" hidden="false" customHeight="false" outlineLevel="0" collapsed="false">
      <c r="A336" s="37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9" t="str">
        <f aca="false">IF(OR($A336="",$D336=""),"",$A336+IFERROR(INDEX(Listas!$D$5:$D$64,MATCH($D336,Listas!$C$5:$C$64,0)),3))</f>
        <v/>
      </c>
      <c r="N336" s="37"/>
      <c r="O336" s="40" t="str">
        <f aca="false">IF($A336="","",IF($K336="Concluído","Sim","Não"))</f>
        <v/>
      </c>
      <c r="P336" s="40" t="str">
        <f aca="true">IF($A336="","",IF($K336="Stand-by","Stand-by",IF($K336="Concluído","Concluída",IF(AND($M336&lt;&gt;"",$M336&lt;TODAY()),"Atrasada","Em dia"))))</f>
        <v/>
      </c>
      <c r="Q336" s="40" t="str">
        <f aca="false">IF($A336="","",IF(LEN(IF($J336="","título, ","")&amp;IF($C336="","responsável, ","")&amp;IF($D336="","tipo, ","")&amp;IF($I336="","canal, ","")&amp;IF($H336="","município, ","")&amp;IF(AND($U336="Sim",$E336=""),"empresa, ","")&amp;IF(AND($U336="Sim",$F336=""),"editor, ","")&amp;IF(AND($K336="Concluído",$N336=""),"data de conclusão, ","")&amp;IF(AND($K336="Concluído",$R336=""),"link, ","")&amp;IF(AND($K336="Concluído",$L336=""),"quem liberou, ",""))=0,"OK","Falta "&amp;LEFT(IF($J336="","título, ","")&amp;IF($C336="","responsável, ","")&amp;IF($D336="","tipo, ","")&amp;IF($I336="","canal, ","")&amp;IF($H336="","município, ","")&amp;IF(AND($U336="Sim",$E336=""),"empresa, ","")&amp;IF(AND($U336="Sim",$F336=""),"editor, ","")&amp;IF(AND($K336="Concluído",$N336=""),"data de conclusão, ","")&amp;IF(AND($K336="Concluído",$R336=""),"link, ","")&amp;IF(AND($K336="Concluído",$L336=""),"quem liberou, ",""),LEN(IF($J336="","título, ","")&amp;IF($C336="","responsável, ","")&amp;IF($D336="","tipo, ","")&amp;IF($I336="","canal, ","")&amp;IF($H336="","município, ","")&amp;IF(AND($U336="Sim",$E336=""),"empresa, ","")&amp;IF(AND($U336="Sim",$F336=""),"editor, ","")&amp;IF(AND($K336="Concluído",$N336=""),"data de conclusão, ","")&amp;IF(AND($K336="Concluído",$R336=""),"link, ","")&amp;IF(AND($K336="Concluído",$L336=""),"quem liberou, ",""))-2)))</f>
        <v/>
      </c>
      <c r="R336" s="38"/>
      <c r="S336" s="38"/>
      <c r="T336" s="38"/>
      <c r="U336" s="40" t="str">
        <f aca="false">IF($A336="","",IFERROR(INDEX(Listas!$E$5:$E$64,MATCH($D336,Listas!$C$5:$C$64,0)),"Não"))</f>
        <v/>
      </c>
    </row>
    <row r="337" customFormat="false" ht="15" hidden="false" customHeight="false" outlineLevel="0" collapsed="false">
      <c r="A337" s="37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9" t="str">
        <f aca="false">IF(OR($A337="",$D337=""),"",$A337+IFERROR(INDEX(Listas!$D$5:$D$64,MATCH($D337,Listas!$C$5:$C$64,0)),3))</f>
        <v/>
      </c>
      <c r="N337" s="37"/>
      <c r="O337" s="40" t="str">
        <f aca="false">IF($A337="","",IF($K337="Concluído","Sim","Não"))</f>
        <v/>
      </c>
      <c r="P337" s="40" t="str">
        <f aca="true">IF($A337="","",IF($K337="Stand-by","Stand-by",IF($K337="Concluído","Concluída",IF(AND($M337&lt;&gt;"",$M337&lt;TODAY()),"Atrasada","Em dia"))))</f>
        <v/>
      </c>
      <c r="Q337" s="40" t="str">
        <f aca="false">IF($A337="","",IF(LEN(IF($J337="","título, ","")&amp;IF($C337="","responsável, ","")&amp;IF($D337="","tipo, ","")&amp;IF($I337="","canal, ","")&amp;IF($H337="","município, ","")&amp;IF(AND($U337="Sim",$E337=""),"empresa, ","")&amp;IF(AND($U337="Sim",$F337=""),"editor, ","")&amp;IF(AND($K337="Concluído",$N337=""),"data de conclusão, ","")&amp;IF(AND($K337="Concluído",$R337=""),"link, ","")&amp;IF(AND($K337="Concluído",$L337=""),"quem liberou, ",""))=0,"OK","Falta "&amp;LEFT(IF($J337="","título, ","")&amp;IF($C337="","responsável, ","")&amp;IF($D337="","tipo, ","")&amp;IF($I337="","canal, ","")&amp;IF($H337="","município, ","")&amp;IF(AND($U337="Sim",$E337=""),"empresa, ","")&amp;IF(AND($U337="Sim",$F337=""),"editor, ","")&amp;IF(AND($K337="Concluído",$N337=""),"data de conclusão, ","")&amp;IF(AND($K337="Concluído",$R337=""),"link, ","")&amp;IF(AND($K337="Concluído",$L337=""),"quem liberou, ",""),LEN(IF($J337="","título, ","")&amp;IF($C337="","responsável, ","")&amp;IF($D337="","tipo, ","")&amp;IF($I337="","canal, ","")&amp;IF($H337="","município, ","")&amp;IF(AND($U337="Sim",$E337=""),"empresa, ","")&amp;IF(AND($U337="Sim",$F337=""),"editor, ","")&amp;IF(AND($K337="Concluído",$N337=""),"data de conclusão, ","")&amp;IF(AND($K337="Concluído",$R337=""),"link, ","")&amp;IF(AND($K337="Concluído",$L337=""),"quem liberou, ",""))-2)))</f>
        <v/>
      </c>
      <c r="R337" s="38"/>
      <c r="S337" s="38"/>
      <c r="T337" s="38"/>
      <c r="U337" s="40" t="str">
        <f aca="false">IF($A337="","",IFERROR(INDEX(Listas!$E$5:$E$64,MATCH($D337,Listas!$C$5:$C$64,0)),"Não"))</f>
        <v/>
      </c>
    </row>
    <row r="338" customFormat="false" ht="15" hidden="false" customHeight="false" outlineLevel="0" collapsed="false">
      <c r="A338" s="37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9" t="str">
        <f aca="false">IF(OR($A338="",$D338=""),"",$A338+IFERROR(INDEX(Listas!$D$5:$D$64,MATCH($D338,Listas!$C$5:$C$64,0)),3))</f>
        <v/>
      </c>
      <c r="N338" s="37"/>
      <c r="O338" s="40" t="str">
        <f aca="false">IF($A338="","",IF($K338="Concluído","Sim","Não"))</f>
        <v/>
      </c>
      <c r="P338" s="40" t="str">
        <f aca="true">IF($A338="","",IF($K338="Stand-by","Stand-by",IF($K338="Concluído","Concluída",IF(AND($M338&lt;&gt;"",$M338&lt;TODAY()),"Atrasada","Em dia"))))</f>
        <v/>
      </c>
      <c r="Q338" s="40" t="str">
        <f aca="false">IF($A338="","",IF(LEN(IF($J338="","título, ","")&amp;IF($C338="","responsável, ","")&amp;IF($D338="","tipo, ","")&amp;IF($I338="","canal, ","")&amp;IF($H338="","município, ","")&amp;IF(AND($U338="Sim",$E338=""),"empresa, ","")&amp;IF(AND($U338="Sim",$F338=""),"editor, ","")&amp;IF(AND($K338="Concluído",$N338=""),"data de conclusão, ","")&amp;IF(AND($K338="Concluído",$R338=""),"link, ","")&amp;IF(AND($K338="Concluído",$L338=""),"quem liberou, ",""))=0,"OK","Falta "&amp;LEFT(IF($J338="","título, ","")&amp;IF($C338="","responsável, ","")&amp;IF($D338="","tipo, ","")&amp;IF($I338="","canal, ","")&amp;IF($H338="","município, ","")&amp;IF(AND($U338="Sim",$E338=""),"empresa, ","")&amp;IF(AND($U338="Sim",$F338=""),"editor, ","")&amp;IF(AND($K338="Concluído",$N338=""),"data de conclusão, ","")&amp;IF(AND($K338="Concluído",$R338=""),"link, ","")&amp;IF(AND($K338="Concluído",$L338=""),"quem liberou, ",""),LEN(IF($J338="","título, ","")&amp;IF($C338="","responsável, ","")&amp;IF($D338="","tipo, ","")&amp;IF($I338="","canal, ","")&amp;IF($H338="","município, ","")&amp;IF(AND($U338="Sim",$E338=""),"empresa, ","")&amp;IF(AND($U338="Sim",$F338=""),"editor, ","")&amp;IF(AND($K338="Concluído",$N338=""),"data de conclusão, ","")&amp;IF(AND($K338="Concluído",$R338=""),"link, ","")&amp;IF(AND($K338="Concluído",$L338=""),"quem liberou, ",""))-2)))</f>
        <v/>
      </c>
      <c r="R338" s="38"/>
      <c r="S338" s="38"/>
      <c r="T338" s="38"/>
      <c r="U338" s="40" t="str">
        <f aca="false">IF($A338="","",IFERROR(INDEX(Listas!$E$5:$E$64,MATCH($D338,Listas!$C$5:$C$64,0)),"Não"))</f>
        <v/>
      </c>
    </row>
    <row r="339" customFormat="false" ht="15" hidden="false" customHeight="false" outlineLevel="0" collapsed="false">
      <c r="A339" s="37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9" t="str">
        <f aca="false">IF(OR($A339="",$D339=""),"",$A339+IFERROR(INDEX(Listas!$D$5:$D$64,MATCH($D339,Listas!$C$5:$C$64,0)),3))</f>
        <v/>
      </c>
      <c r="N339" s="37"/>
      <c r="O339" s="40" t="str">
        <f aca="false">IF($A339="","",IF($K339="Concluído","Sim","Não"))</f>
        <v/>
      </c>
      <c r="P339" s="40" t="str">
        <f aca="true">IF($A339="","",IF($K339="Stand-by","Stand-by",IF($K339="Concluído","Concluída",IF(AND($M339&lt;&gt;"",$M339&lt;TODAY()),"Atrasada","Em dia"))))</f>
        <v/>
      </c>
      <c r="Q339" s="40" t="str">
        <f aca="false">IF($A339="","",IF(LEN(IF($J339="","título, ","")&amp;IF($C339="","responsável, ","")&amp;IF($D339="","tipo, ","")&amp;IF($I339="","canal, ","")&amp;IF($H339="","município, ","")&amp;IF(AND($U339="Sim",$E339=""),"empresa, ","")&amp;IF(AND($U339="Sim",$F339=""),"editor, ","")&amp;IF(AND($K339="Concluído",$N339=""),"data de conclusão, ","")&amp;IF(AND($K339="Concluído",$R339=""),"link, ","")&amp;IF(AND($K339="Concluído",$L339=""),"quem liberou, ",""))=0,"OK","Falta "&amp;LEFT(IF($J339="","título, ","")&amp;IF($C339="","responsável, ","")&amp;IF($D339="","tipo, ","")&amp;IF($I339="","canal, ","")&amp;IF($H339="","município, ","")&amp;IF(AND($U339="Sim",$E339=""),"empresa, ","")&amp;IF(AND($U339="Sim",$F339=""),"editor, ","")&amp;IF(AND($K339="Concluído",$N339=""),"data de conclusão, ","")&amp;IF(AND($K339="Concluído",$R339=""),"link, ","")&amp;IF(AND($K339="Concluído",$L339=""),"quem liberou, ",""),LEN(IF($J339="","título, ","")&amp;IF($C339="","responsável, ","")&amp;IF($D339="","tipo, ","")&amp;IF($I339="","canal, ","")&amp;IF($H339="","município, ","")&amp;IF(AND($U339="Sim",$E339=""),"empresa, ","")&amp;IF(AND($U339="Sim",$F339=""),"editor, ","")&amp;IF(AND($K339="Concluído",$N339=""),"data de conclusão, ","")&amp;IF(AND($K339="Concluído",$R339=""),"link, ","")&amp;IF(AND($K339="Concluído",$L339=""),"quem liberou, ",""))-2)))</f>
        <v/>
      </c>
      <c r="R339" s="38"/>
      <c r="S339" s="38"/>
      <c r="T339" s="38"/>
      <c r="U339" s="40" t="str">
        <f aca="false">IF($A339="","",IFERROR(INDEX(Listas!$E$5:$E$64,MATCH($D339,Listas!$C$5:$C$64,0)),"Não"))</f>
        <v/>
      </c>
    </row>
    <row r="340" customFormat="false" ht="15" hidden="false" customHeight="false" outlineLevel="0" collapsed="false">
      <c r="A340" s="37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9" t="str">
        <f aca="false">IF(OR($A340="",$D340=""),"",$A340+IFERROR(INDEX(Listas!$D$5:$D$64,MATCH($D340,Listas!$C$5:$C$64,0)),3))</f>
        <v/>
      </c>
      <c r="N340" s="37"/>
      <c r="O340" s="40" t="str">
        <f aca="false">IF($A340="","",IF($K340="Concluído","Sim","Não"))</f>
        <v/>
      </c>
      <c r="P340" s="40" t="str">
        <f aca="true">IF($A340="","",IF($K340="Stand-by","Stand-by",IF($K340="Concluído","Concluída",IF(AND($M340&lt;&gt;"",$M340&lt;TODAY()),"Atrasada","Em dia"))))</f>
        <v/>
      </c>
      <c r="Q340" s="40" t="str">
        <f aca="false">IF($A340="","",IF(LEN(IF($J340="","título, ","")&amp;IF($C340="","responsável, ","")&amp;IF($D340="","tipo, ","")&amp;IF($I340="","canal, ","")&amp;IF($H340="","município, ","")&amp;IF(AND($U340="Sim",$E340=""),"empresa, ","")&amp;IF(AND($U340="Sim",$F340=""),"editor, ","")&amp;IF(AND($K340="Concluído",$N340=""),"data de conclusão, ","")&amp;IF(AND($K340="Concluído",$R340=""),"link, ","")&amp;IF(AND($K340="Concluído",$L340=""),"quem liberou, ",""))=0,"OK","Falta "&amp;LEFT(IF($J340="","título, ","")&amp;IF($C340="","responsável, ","")&amp;IF($D340="","tipo, ","")&amp;IF($I340="","canal, ","")&amp;IF($H340="","município, ","")&amp;IF(AND($U340="Sim",$E340=""),"empresa, ","")&amp;IF(AND($U340="Sim",$F340=""),"editor, ","")&amp;IF(AND($K340="Concluído",$N340=""),"data de conclusão, ","")&amp;IF(AND($K340="Concluído",$R340=""),"link, ","")&amp;IF(AND($K340="Concluído",$L340=""),"quem liberou, ",""),LEN(IF($J340="","título, ","")&amp;IF($C340="","responsável, ","")&amp;IF($D340="","tipo, ","")&amp;IF($I340="","canal, ","")&amp;IF($H340="","município, ","")&amp;IF(AND($U340="Sim",$E340=""),"empresa, ","")&amp;IF(AND($U340="Sim",$F340=""),"editor, ","")&amp;IF(AND($K340="Concluído",$N340=""),"data de conclusão, ","")&amp;IF(AND($K340="Concluído",$R340=""),"link, ","")&amp;IF(AND($K340="Concluído",$L340=""),"quem liberou, ",""))-2)))</f>
        <v/>
      </c>
      <c r="R340" s="38"/>
      <c r="S340" s="38"/>
      <c r="T340" s="38"/>
      <c r="U340" s="40" t="str">
        <f aca="false">IF($A340="","",IFERROR(INDEX(Listas!$E$5:$E$64,MATCH($D340,Listas!$C$5:$C$64,0)),"Não"))</f>
        <v/>
      </c>
    </row>
    <row r="341" customFormat="false" ht="15" hidden="false" customHeight="false" outlineLevel="0" collapsed="false">
      <c r="A341" s="37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9" t="str">
        <f aca="false">IF(OR($A341="",$D341=""),"",$A341+IFERROR(INDEX(Listas!$D$5:$D$64,MATCH($D341,Listas!$C$5:$C$64,0)),3))</f>
        <v/>
      </c>
      <c r="N341" s="37"/>
      <c r="O341" s="40" t="str">
        <f aca="false">IF($A341="","",IF($K341="Concluído","Sim","Não"))</f>
        <v/>
      </c>
      <c r="P341" s="40" t="str">
        <f aca="true">IF($A341="","",IF($K341="Stand-by","Stand-by",IF($K341="Concluído","Concluída",IF(AND($M341&lt;&gt;"",$M341&lt;TODAY()),"Atrasada","Em dia"))))</f>
        <v/>
      </c>
      <c r="Q341" s="40" t="str">
        <f aca="false">IF($A341="","",IF(LEN(IF($J341="","título, ","")&amp;IF($C341="","responsável, ","")&amp;IF($D341="","tipo, ","")&amp;IF($I341="","canal, ","")&amp;IF($H341="","município, ","")&amp;IF(AND($U341="Sim",$E341=""),"empresa, ","")&amp;IF(AND($U341="Sim",$F341=""),"editor, ","")&amp;IF(AND($K341="Concluído",$N341=""),"data de conclusão, ","")&amp;IF(AND($K341="Concluído",$R341=""),"link, ","")&amp;IF(AND($K341="Concluído",$L341=""),"quem liberou, ",""))=0,"OK","Falta "&amp;LEFT(IF($J341="","título, ","")&amp;IF($C341="","responsável, ","")&amp;IF($D341="","tipo, ","")&amp;IF($I341="","canal, ","")&amp;IF($H341="","município, ","")&amp;IF(AND($U341="Sim",$E341=""),"empresa, ","")&amp;IF(AND($U341="Sim",$F341=""),"editor, ","")&amp;IF(AND($K341="Concluído",$N341=""),"data de conclusão, ","")&amp;IF(AND($K341="Concluído",$R341=""),"link, ","")&amp;IF(AND($K341="Concluído",$L341=""),"quem liberou, ",""),LEN(IF($J341="","título, ","")&amp;IF($C341="","responsável, ","")&amp;IF($D341="","tipo, ","")&amp;IF($I341="","canal, ","")&amp;IF($H341="","município, ","")&amp;IF(AND($U341="Sim",$E341=""),"empresa, ","")&amp;IF(AND($U341="Sim",$F341=""),"editor, ","")&amp;IF(AND($K341="Concluído",$N341=""),"data de conclusão, ","")&amp;IF(AND($K341="Concluído",$R341=""),"link, ","")&amp;IF(AND($K341="Concluído",$L341=""),"quem liberou, ",""))-2)))</f>
        <v/>
      </c>
      <c r="R341" s="38"/>
      <c r="S341" s="38"/>
      <c r="T341" s="38"/>
      <c r="U341" s="40" t="str">
        <f aca="false">IF($A341="","",IFERROR(INDEX(Listas!$E$5:$E$64,MATCH($D341,Listas!$C$5:$C$64,0)),"Não"))</f>
        <v/>
      </c>
    </row>
    <row r="342" customFormat="false" ht="15" hidden="false" customHeight="false" outlineLevel="0" collapsed="false">
      <c r="A342" s="37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9" t="str">
        <f aca="false">IF(OR($A342="",$D342=""),"",$A342+IFERROR(INDEX(Listas!$D$5:$D$64,MATCH($D342,Listas!$C$5:$C$64,0)),3))</f>
        <v/>
      </c>
      <c r="N342" s="37"/>
      <c r="O342" s="40" t="str">
        <f aca="false">IF($A342="","",IF($K342="Concluído","Sim","Não"))</f>
        <v/>
      </c>
      <c r="P342" s="40" t="str">
        <f aca="true">IF($A342="","",IF($K342="Stand-by","Stand-by",IF($K342="Concluído","Concluída",IF(AND($M342&lt;&gt;"",$M342&lt;TODAY()),"Atrasada","Em dia"))))</f>
        <v/>
      </c>
      <c r="Q342" s="40" t="str">
        <f aca="false">IF($A342="","",IF(LEN(IF($J342="","título, ","")&amp;IF($C342="","responsável, ","")&amp;IF($D342="","tipo, ","")&amp;IF($I342="","canal, ","")&amp;IF($H342="","município, ","")&amp;IF(AND($U342="Sim",$E342=""),"empresa, ","")&amp;IF(AND($U342="Sim",$F342=""),"editor, ","")&amp;IF(AND($K342="Concluído",$N342=""),"data de conclusão, ","")&amp;IF(AND($K342="Concluído",$R342=""),"link, ","")&amp;IF(AND($K342="Concluído",$L342=""),"quem liberou, ",""))=0,"OK","Falta "&amp;LEFT(IF($J342="","título, ","")&amp;IF($C342="","responsável, ","")&amp;IF($D342="","tipo, ","")&amp;IF($I342="","canal, ","")&amp;IF($H342="","município, ","")&amp;IF(AND($U342="Sim",$E342=""),"empresa, ","")&amp;IF(AND($U342="Sim",$F342=""),"editor, ","")&amp;IF(AND($K342="Concluído",$N342=""),"data de conclusão, ","")&amp;IF(AND($K342="Concluído",$R342=""),"link, ","")&amp;IF(AND($K342="Concluído",$L342=""),"quem liberou, ",""),LEN(IF($J342="","título, ","")&amp;IF($C342="","responsável, ","")&amp;IF($D342="","tipo, ","")&amp;IF($I342="","canal, ","")&amp;IF($H342="","município, ","")&amp;IF(AND($U342="Sim",$E342=""),"empresa, ","")&amp;IF(AND($U342="Sim",$F342=""),"editor, ","")&amp;IF(AND($K342="Concluído",$N342=""),"data de conclusão, ","")&amp;IF(AND($K342="Concluído",$R342=""),"link, ","")&amp;IF(AND($K342="Concluído",$L342=""),"quem liberou, ",""))-2)))</f>
        <v/>
      </c>
      <c r="R342" s="38"/>
      <c r="S342" s="38"/>
      <c r="T342" s="38"/>
      <c r="U342" s="40" t="str">
        <f aca="false">IF($A342="","",IFERROR(INDEX(Listas!$E$5:$E$64,MATCH($D342,Listas!$C$5:$C$64,0)),"Não"))</f>
        <v/>
      </c>
    </row>
    <row r="343" customFormat="false" ht="15" hidden="false" customHeight="false" outlineLevel="0" collapsed="false">
      <c r="A343" s="37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9" t="str">
        <f aca="false">IF(OR($A343="",$D343=""),"",$A343+IFERROR(INDEX(Listas!$D$5:$D$64,MATCH($D343,Listas!$C$5:$C$64,0)),3))</f>
        <v/>
      </c>
      <c r="N343" s="37"/>
      <c r="O343" s="40" t="str">
        <f aca="false">IF($A343="","",IF($K343="Concluído","Sim","Não"))</f>
        <v/>
      </c>
      <c r="P343" s="40" t="str">
        <f aca="true">IF($A343="","",IF($K343="Stand-by","Stand-by",IF($K343="Concluído","Concluída",IF(AND($M343&lt;&gt;"",$M343&lt;TODAY()),"Atrasada","Em dia"))))</f>
        <v/>
      </c>
      <c r="Q343" s="40" t="str">
        <f aca="false">IF($A343="","",IF(LEN(IF($J343="","título, ","")&amp;IF($C343="","responsável, ","")&amp;IF($D343="","tipo, ","")&amp;IF($I343="","canal, ","")&amp;IF($H343="","município, ","")&amp;IF(AND($U343="Sim",$E343=""),"empresa, ","")&amp;IF(AND($U343="Sim",$F343=""),"editor, ","")&amp;IF(AND($K343="Concluído",$N343=""),"data de conclusão, ","")&amp;IF(AND($K343="Concluído",$R343=""),"link, ","")&amp;IF(AND($K343="Concluído",$L343=""),"quem liberou, ",""))=0,"OK","Falta "&amp;LEFT(IF($J343="","título, ","")&amp;IF($C343="","responsável, ","")&amp;IF($D343="","tipo, ","")&amp;IF($I343="","canal, ","")&amp;IF($H343="","município, ","")&amp;IF(AND($U343="Sim",$E343=""),"empresa, ","")&amp;IF(AND($U343="Sim",$F343=""),"editor, ","")&amp;IF(AND($K343="Concluído",$N343=""),"data de conclusão, ","")&amp;IF(AND($K343="Concluído",$R343=""),"link, ","")&amp;IF(AND($K343="Concluído",$L343=""),"quem liberou, ",""),LEN(IF($J343="","título, ","")&amp;IF($C343="","responsável, ","")&amp;IF($D343="","tipo, ","")&amp;IF($I343="","canal, ","")&amp;IF($H343="","município, ","")&amp;IF(AND($U343="Sim",$E343=""),"empresa, ","")&amp;IF(AND($U343="Sim",$F343=""),"editor, ","")&amp;IF(AND($K343="Concluído",$N343=""),"data de conclusão, ","")&amp;IF(AND($K343="Concluído",$R343=""),"link, ","")&amp;IF(AND($K343="Concluído",$L343=""),"quem liberou, ",""))-2)))</f>
        <v/>
      </c>
      <c r="R343" s="38"/>
      <c r="S343" s="38"/>
      <c r="T343" s="38"/>
      <c r="U343" s="40" t="str">
        <f aca="false">IF($A343="","",IFERROR(INDEX(Listas!$E$5:$E$64,MATCH($D343,Listas!$C$5:$C$64,0)),"Não"))</f>
        <v/>
      </c>
    </row>
    <row r="344" customFormat="false" ht="15" hidden="false" customHeight="false" outlineLevel="0" collapsed="false">
      <c r="A344" s="37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9" t="str">
        <f aca="false">IF(OR($A344="",$D344=""),"",$A344+IFERROR(INDEX(Listas!$D$5:$D$64,MATCH($D344,Listas!$C$5:$C$64,0)),3))</f>
        <v/>
      </c>
      <c r="N344" s="37"/>
      <c r="O344" s="40" t="str">
        <f aca="false">IF($A344="","",IF($K344="Concluído","Sim","Não"))</f>
        <v/>
      </c>
      <c r="P344" s="40" t="str">
        <f aca="true">IF($A344="","",IF($K344="Stand-by","Stand-by",IF($K344="Concluído","Concluída",IF(AND($M344&lt;&gt;"",$M344&lt;TODAY()),"Atrasada","Em dia"))))</f>
        <v/>
      </c>
      <c r="Q344" s="40" t="str">
        <f aca="false">IF($A344="","",IF(LEN(IF($J344="","título, ","")&amp;IF($C344="","responsável, ","")&amp;IF($D344="","tipo, ","")&amp;IF($I344="","canal, ","")&amp;IF($H344="","município, ","")&amp;IF(AND($U344="Sim",$E344=""),"empresa, ","")&amp;IF(AND($U344="Sim",$F344=""),"editor, ","")&amp;IF(AND($K344="Concluído",$N344=""),"data de conclusão, ","")&amp;IF(AND($K344="Concluído",$R344=""),"link, ","")&amp;IF(AND($K344="Concluído",$L344=""),"quem liberou, ",""))=0,"OK","Falta "&amp;LEFT(IF($J344="","título, ","")&amp;IF($C344="","responsável, ","")&amp;IF($D344="","tipo, ","")&amp;IF($I344="","canal, ","")&amp;IF($H344="","município, ","")&amp;IF(AND($U344="Sim",$E344=""),"empresa, ","")&amp;IF(AND($U344="Sim",$F344=""),"editor, ","")&amp;IF(AND($K344="Concluído",$N344=""),"data de conclusão, ","")&amp;IF(AND($K344="Concluído",$R344=""),"link, ","")&amp;IF(AND($K344="Concluído",$L344=""),"quem liberou, ",""),LEN(IF($J344="","título, ","")&amp;IF($C344="","responsável, ","")&amp;IF($D344="","tipo, ","")&amp;IF($I344="","canal, ","")&amp;IF($H344="","município, ","")&amp;IF(AND($U344="Sim",$E344=""),"empresa, ","")&amp;IF(AND($U344="Sim",$F344=""),"editor, ","")&amp;IF(AND($K344="Concluído",$N344=""),"data de conclusão, ","")&amp;IF(AND($K344="Concluído",$R344=""),"link, ","")&amp;IF(AND($K344="Concluído",$L344=""),"quem liberou, ",""))-2)))</f>
        <v/>
      </c>
      <c r="R344" s="38"/>
      <c r="S344" s="38"/>
      <c r="T344" s="38"/>
      <c r="U344" s="40" t="str">
        <f aca="false">IF($A344="","",IFERROR(INDEX(Listas!$E$5:$E$64,MATCH($D344,Listas!$C$5:$C$64,0)),"Não"))</f>
        <v/>
      </c>
    </row>
    <row r="345" customFormat="false" ht="15" hidden="false" customHeight="false" outlineLevel="0" collapsed="false">
      <c r="A345" s="37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9" t="str">
        <f aca="false">IF(OR($A345="",$D345=""),"",$A345+IFERROR(INDEX(Listas!$D$5:$D$64,MATCH($D345,Listas!$C$5:$C$64,0)),3))</f>
        <v/>
      </c>
      <c r="N345" s="37"/>
      <c r="O345" s="40" t="str">
        <f aca="false">IF($A345="","",IF($K345="Concluído","Sim","Não"))</f>
        <v/>
      </c>
      <c r="P345" s="40" t="str">
        <f aca="true">IF($A345="","",IF($K345="Stand-by","Stand-by",IF($K345="Concluído","Concluída",IF(AND($M345&lt;&gt;"",$M345&lt;TODAY()),"Atrasada","Em dia"))))</f>
        <v/>
      </c>
      <c r="Q345" s="40" t="str">
        <f aca="false">IF($A345="","",IF(LEN(IF($J345="","título, ","")&amp;IF($C345="","responsável, ","")&amp;IF($D345="","tipo, ","")&amp;IF($I345="","canal, ","")&amp;IF($H345="","município, ","")&amp;IF(AND($U345="Sim",$E345=""),"empresa, ","")&amp;IF(AND($U345="Sim",$F345=""),"editor, ","")&amp;IF(AND($K345="Concluído",$N345=""),"data de conclusão, ","")&amp;IF(AND($K345="Concluído",$R345=""),"link, ","")&amp;IF(AND($K345="Concluído",$L345=""),"quem liberou, ",""))=0,"OK","Falta "&amp;LEFT(IF($J345="","título, ","")&amp;IF($C345="","responsável, ","")&amp;IF($D345="","tipo, ","")&amp;IF($I345="","canal, ","")&amp;IF($H345="","município, ","")&amp;IF(AND($U345="Sim",$E345=""),"empresa, ","")&amp;IF(AND($U345="Sim",$F345=""),"editor, ","")&amp;IF(AND($K345="Concluído",$N345=""),"data de conclusão, ","")&amp;IF(AND($K345="Concluído",$R345=""),"link, ","")&amp;IF(AND($K345="Concluído",$L345=""),"quem liberou, ",""),LEN(IF($J345="","título, ","")&amp;IF($C345="","responsável, ","")&amp;IF($D345="","tipo, ","")&amp;IF($I345="","canal, ","")&amp;IF($H345="","município, ","")&amp;IF(AND($U345="Sim",$E345=""),"empresa, ","")&amp;IF(AND($U345="Sim",$F345=""),"editor, ","")&amp;IF(AND($K345="Concluído",$N345=""),"data de conclusão, ","")&amp;IF(AND($K345="Concluído",$R345=""),"link, ","")&amp;IF(AND($K345="Concluído",$L345=""),"quem liberou, ",""))-2)))</f>
        <v/>
      </c>
      <c r="R345" s="38"/>
      <c r="S345" s="38"/>
      <c r="T345" s="38"/>
      <c r="U345" s="40" t="str">
        <f aca="false">IF($A345="","",IFERROR(INDEX(Listas!$E$5:$E$64,MATCH($D345,Listas!$C$5:$C$64,0)),"Não"))</f>
        <v/>
      </c>
    </row>
    <row r="346" customFormat="false" ht="15" hidden="false" customHeight="false" outlineLevel="0" collapsed="false">
      <c r="A346" s="37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9" t="str">
        <f aca="false">IF(OR($A346="",$D346=""),"",$A346+IFERROR(INDEX(Listas!$D$5:$D$64,MATCH($D346,Listas!$C$5:$C$64,0)),3))</f>
        <v/>
      </c>
      <c r="N346" s="37"/>
      <c r="O346" s="40" t="str">
        <f aca="false">IF($A346="","",IF($K346="Concluído","Sim","Não"))</f>
        <v/>
      </c>
      <c r="P346" s="40" t="str">
        <f aca="true">IF($A346="","",IF($K346="Stand-by","Stand-by",IF($K346="Concluído","Concluída",IF(AND($M346&lt;&gt;"",$M346&lt;TODAY()),"Atrasada","Em dia"))))</f>
        <v/>
      </c>
      <c r="Q346" s="40" t="str">
        <f aca="false">IF($A346="","",IF(LEN(IF($J346="","título, ","")&amp;IF($C346="","responsável, ","")&amp;IF($D346="","tipo, ","")&amp;IF($I346="","canal, ","")&amp;IF($H346="","município, ","")&amp;IF(AND($U346="Sim",$E346=""),"empresa, ","")&amp;IF(AND($U346="Sim",$F346=""),"editor, ","")&amp;IF(AND($K346="Concluído",$N346=""),"data de conclusão, ","")&amp;IF(AND($K346="Concluído",$R346=""),"link, ","")&amp;IF(AND($K346="Concluído",$L346=""),"quem liberou, ",""))=0,"OK","Falta "&amp;LEFT(IF($J346="","título, ","")&amp;IF($C346="","responsável, ","")&amp;IF($D346="","tipo, ","")&amp;IF($I346="","canal, ","")&amp;IF($H346="","município, ","")&amp;IF(AND($U346="Sim",$E346=""),"empresa, ","")&amp;IF(AND($U346="Sim",$F346=""),"editor, ","")&amp;IF(AND($K346="Concluído",$N346=""),"data de conclusão, ","")&amp;IF(AND($K346="Concluído",$R346=""),"link, ","")&amp;IF(AND($K346="Concluído",$L346=""),"quem liberou, ",""),LEN(IF($J346="","título, ","")&amp;IF($C346="","responsável, ","")&amp;IF($D346="","tipo, ","")&amp;IF($I346="","canal, ","")&amp;IF($H346="","município, ","")&amp;IF(AND($U346="Sim",$E346=""),"empresa, ","")&amp;IF(AND($U346="Sim",$F346=""),"editor, ","")&amp;IF(AND($K346="Concluído",$N346=""),"data de conclusão, ","")&amp;IF(AND($K346="Concluído",$R346=""),"link, ","")&amp;IF(AND($K346="Concluído",$L346=""),"quem liberou, ",""))-2)))</f>
        <v/>
      </c>
      <c r="R346" s="38"/>
      <c r="S346" s="38"/>
      <c r="T346" s="38"/>
      <c r="U346" s="40" t="str">
        <f aca="false">IF($A346="","",IFERROR(INDEX(Listas!$E$5:$E$64,MATCH($D346,Listas!$C$5:$C$64,0)),"Não"))</f>
        <v/>
      </c>
    </row>
    <row r="347" customFormat="false" ht="15" hidden="false" customHeight="false" outlineLevel="0" collapsed="false">
      <c r="A347" s="37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9" t="str">
        <f aca="false">IF(OR($A347="",$D347=""),"",$A347+IFERROR(INDEX(Listas!$D$5:$D$64,MATCH($D347,Listas!$C$5:$C$64,0)),3))</f>
        <v/>
      </c>
      <c r="N347" s="37"/>
      <c r="O347" s="40" t="str">
        <f aca="false">IF($A347="","",IF($K347="Concluído","Sim","Não"))</f>
        <v/>
      </c>
      <c r="P347" s="40" t="str">
        <f aca="true">IF($A347="","",IF($K347="Stand-by","Stand-by",IF($K347="Concluído","Concluída",IF(AND($M347&lt;&gt;"",$M347&lt;TODAY()),"Atrasada","Em dia"))))</f>
        <v/>
      </c>
      <c r="Q347" s="40" t="str">
        <f aca="false">IF($A347="","",IF(LEN(IF($J347="","título, ","")&amp;IF($C347="","responsável, ","")&amp;IF($D347="","tipo, ","")&amp;IF($I347="","canal, ","")&amp;IF($H347="","município, ","")&amp;IF(AND($U347="Sim",$E347=""),"empresa, ","")&amp;IF(AND($U347="Sim",$F347=""),"editor, ","")&amp;IF(AND($K347="Concluído",$N347=""),"data de conclusão, ","")&amp;IF(AND($K347="Concluído",$R347=""),"link, ","")&amp;IF(AND($K347="Concluído",$L347=""),"quem liberou, ",""))=0,"OK","Falta "&amp;LEFT(IF($J347="","título, ","")&amp;IF($C347="","responsável, ","")&amp;IF($D347="","tipo, ","")&amp;IF($I347="","canal, ","")&amp;IF($H347="","município, ","")&amp;IF(AND($U347="Sim",$E347=""),"empresa, ","")&amp;IF(AND($U347="Sim",$F347=""),"editor, ","")&amp;IF(AND($K347="Concluído",$N347=""),"data de conclusão, ","")&amp;IF(AND($K347="Concluído",$R347=""),"link, ","")&amp;IF(AND($K347="Concluído",$L347=""),"quem liberou, ",""),LEN(IF($J347="","título, ","")&amp;IF($C347="","responsável, ","")&amp;IF($D347="","tipo, ","")&amp;IF($I347="","canal, ","")&amp;IF($H347="","município, ","")&amp;IF(AND($U347="Sim",$E347=""),"empresa, ","")&amp;IF(AND($U347="Sim",$F347=""),"editor, ","")&amp;IF(AND($K347="Concluído",$N347=""),"data de conclusão, ","")&amp;IF(AND($K347="Concluído",$R347=""),"link, ","")&amp;IF(AND($K347="Concluído",$L347=""),"quem liberou, ",""))-2)))</f>
        <v/>
      </c>
      <c r="R347" s="38"/>
      <c r="S347" s="38"/>
      <c r="T347" s="38"/>
      <c r="U347" s="40" t="str">
        <f aca="false">IF($A347="","",IFERROR(INDEX(Listas!$E$5:$E$64,MATCH($D347,Listas!$C$5:$C$64,0)),"Não"))</f>
        <v/>
      </c>
    </row>
    <row r="348" customFormat="false" ht="15" hidden="false" customHeight="false" outlineLevel="0" collapsed="false">
      <c r="A348" s="37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9" t="str">
        <f aca="false">IF(OR($A348="",$D348=""),"",$A348+IFERROR(INDEX(Listas!$D$5:$D$64,MATCH($D348,Listas!$C$5:$C$64,0)),3))</f>
        <v/>
      </c>
      <c r="N348" s="37"/>
      <c r="O348" s="40" t="str">
        <f aca="false">IF($A348="","",IF($K348="Concluído","Sim","Não"))</f>
        <v/>
      </c>
      <c r="P348" s="40" t="str">
        <f aca="true">IF($A348="","",IF($K348="Stand-by","Stand-by",IF($K348="Concluído","Concluída",IF(AND($M348&lt;&gt;"",$M348&lt;TODAY()),"Atrasada","Em dia"))))</f>
        <v/>
      </c>
      <c r="Q348" s="40" t="str">
        <f aca="false">IF($A348="","",IF(LEN(IF($J348="","título, ","")&amp;IF($C348="","responsável, ","")&amp;IF($D348="","tipo, ","")&amp;IF($I348="","canal, ","")&amp;IF($H348="","município, ","")&amp;IF(AND($U348="Sim",$E348=""),"empresa, ","")&amp;IF(AND($U348="Sim",$F348=""),"editor, ","")&amp;IF(AND($K348="Concluído",$N348=""),"data de conclusão, ","")&amp;IF(AND($K348="Concluído",$R348=""),"link, ","")&amp;IF(AND($K348="Concluído",$L348=""),"quem liberou, ",""))=0,"OK","Falta "&amp;LEFT(IF($J348="","título, ","")&amp;IF($C348="","responsável, ","")&amp;IF($D348="","tipo, ","")&amp;IF($I348="","canal, ","")&amp;IF($H348="","município, ","")&amp;IF(AND($U348="Sim",$E348=""),"empresa, ","")&amp;IF(AND($U348="Sim",$F348=""),"editor, ","")&amp;IF(AND($K348="Concluído",$N348=""),"data de conclusão, ","")&amp;IF(AND($K348="Concluído",$R348=""),"link, ","")&amp;IF(AND($K348="Concluído",$L348=""),"quem liberou, ",""),LEN(IF($J348="","título, ","")&amp;IF($C348="","responsável, ","")&amp;IF($D348="","tipo, ","")&amp;IF($I348="","canal, ","")&amp;IF($H348="","município, ","")&amp;IF(AND($U348="Sim",$E348=""),"empresa, ","")&amp;IF(AND($U348="Sim",$F348=""),"editor, ","")&amp;IF(AND($K348="Concluído",$N348=""),"data de conclusão, ","")&amp;IF(AND($K348="Concluído",$R348=""),"link, ","")&amp;IF(AND($K348="Concluído",$L348=""),"quem liberou, ",""))-2)))</f>
        <v/>
      </c>
      <c r="R348" s="38"/>
      <c r="S348" s="38"/>
      <c r="T348" s="38"/>
      <c r="U348" s="40" t="str">
        <f aca="false">IF($A348="","",IFERROR(INDEX(Listas!$E$5:$E$64,MATCH($D348,Listas!$C$5:$C$64,0)),"Não"))</f>
        <v/>
      </c>
    </row>
    <row r="349" customFormat="false" ht="15" hidden="false" customHeight="false" outlineLevel="0" collapsed="false">
      <c r="A349" s="37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9" t="str">
        <f aca="false">IF(OR($A349="",$D349=""),"",$A349+IFERROR(INDEX(Listas!$D$5:$D$64,MATCH($D349,Listas!$C$5:$C$64,0)),3))</f>
        <v/>
      </c>
      <c r="N349" s="37"/>
      <c r="O349" s="40" t="str">
        <f aca="false">IF($A349="","",IF($K349="Concluído","Sim","Não"))</f>
        <v/>
      </c>
      <c r="P349" s="40" t="str">
        <f aca="true">IF($A349="","",IF($K349="Stand-by","Stand-by",IF($K349="Concluído","Concluída",IF(AND($M349&lt;&gt;"",$M349&lt;TODAY()),"Atrasada","Em dia"))))</f>
        <v/>
      </c>
      <c r="Q349" s="40" t="str">
        <f aca="false">IF($A349="","",IF(LEN(IF($J349="","título, ","")&amp;IF($C349="","responsável, ","")&amp;IF($D349="","tipo, ","")&amp;IF($I349="","canal, ","")&amp;IF($H349="","município, ","")&amp;IF(AND($U349="Sim",$E349=""),"empresa, ","")&amp;IF(AND($U349="Sim",$F349=""),"editor, ","")&amp;IF(AND($K349="Concluído",$N349=""),"data de conclusão, ","")&amp;IF(AND($K349="Concluído",$R349=""),"link, ","")&amp;IF(AND($K349="Concluído",$L349=""),"quem liberou, ",""))=0,"OK","Falta "&amp;LEFT(IF($J349="","título, ","")&amp;IF($C349="","responsável, ","")&amp;IF($D349="","tipo, ","")&amp;IF($I349="","canal, ","")&amp;IF($H349="","município, ","")&amp;IF(AND($U349="Sim",$E349=""),"empresa, ","")&amp;IF(AND($U349="Sim",$F349=""),"editor, ","")&amp;IF(AND($K349="Concluído",$N349=""),"data de conclusão, ","")&amp;IF(AND($K349="Concluído",$R349=""),"link, ","")&amp;IF(AND($K349="Concluído",$L349=""),"quem liberou, ",""),LEN(IF($J349="","título, ","")&amp;IF($C349="","responsável, ","")&amp;IF($D349="","tipo, ","")&amp;IF($I349="","canal, ","")&amp;IF($H349="","município, ","")&amp;IF(AND($U349="Sim",$E349=""),"empresa, ","")&amp;IF(AND($U349="Sim",$F349=""),"editor, ","")&amp;IF(AND($K349="Concluído",$N349=""),"data de conclusão, ","")&amp;IF(AND($K349="Concluído",$R349=""),"link, ","")&amp;IF(AND($K349="Concluído",$L349=""),"quem liberou, ",""))-2)))</f>
        <v/>
      </c>
      <c r="R349" s="38"/>
      <c r="S349" s="38"/>
      <c r="T349" s="38"/>
      <c r="U349" s="40" t="str">
        <f aca="false">IF($A349="","",IFERROR(INDEX(Listas!$E$5:$E$64,MATCH($D349,Listas!$C$5:$C$64,0)),"Não"))</f>
        <v/>
      </c>
    </row>
    <row r="350" customFormat="false" ht="15" hidden="false" customHeight="false" outlineLevel="0" collapsed="false">
      <c r="A350" s="37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9" t="str">
        <f aca="false">IF(OR($A350="",$D350=""),"",$A350+IFERROR(INDEX(Listas!$D$5:$D$64,MATCH($D350,Listas!$C$5:$C$64,0)),3))</f>
        <v/>
      </c>
      <c r="N350" s="37"/>
      <c r="O350" s="40" t="str">
        <f aca="false">IF($A350="","",IF($K350="Concluído","Sim","Não"))</f>
        <v/>
      </c>
      <c r="P350" s="40" t="str">
        <f aca="true">IF($A350="","",IF($K350="Stand-by","Stand-by",IF($K350="Concluído","Concluída",IF(AND($M350&lt;&gt;"",$M350&lt;TODAY()),"Atrasada","Em dia"))))</f>
        <v/>
      </c>
      <c r="Q350" s="40" t="str">
        <f aca="false">IF($A350="","",IF(LEN(IF($J350="","título, ","")&amp;IF($C350="","responsável, ","")&amp;IF($D350="","tipo, ","")&amp;IF($I350="","canal, ","")&amp;IF($H350="","município, ","")&amp;IF(AND($U350="Sim",$E350=""),"empresa, ","")&amp;IF(AND($U350="Sim",$F350=""),"editor, ","")&amp;IF(AND($K350="Concluído",$N350=""),"data de conclusão, ","")&amp;IF(AND($K350="Concluído",$R350=""),"link, ","")&amp;IF(AND($K350="Concluído",$L350=""),"quem liberou, ",""))=0,"OK","Falta "&amp;LEFT(IF($J350="","título, ","")&amp;IF($C350="","responsável, ","")&amp;IF($D350="","tipo, ","")&amp;IF($I350="","canal, ","")&amp;IF($H350="","município, ","")&amp;IF(AND($U350="Sim",$E350=""),"empresa, ","")&amp;IF(AND($U350="Sim",$F350=""),"editor, ","")&amp;IF(AND($K350="Concluído",$N350=""),"data de conclusão, ","")&amp;IF(AND($K350="Concluído",$R350=""),"link, ","")&amp;IF(AND($K350="Concluído",$L350=""),"quem liberou, ",""),LEN(IF($J350="","título, ","")&amp;IF($C350="","responsável, ","")&amp;IF($D350="","tipo, ","")&amp;IF($I350="","canal, ","")&amp;IF($H350="","município, ","")&amp;IF(AND($U350="Sim",$E350=""),"empresa, ","")&amp;IF(AND($U350="Sim",$F350=""),"editor, ","")&amp;IF(AND($K350="Concluído",$N350=""),"data de conclusão, ","")&amp;IF(AND($K350="Concluído",$R350=""),"link, ","")&amp;IF(AND($K350="Concluído",$L350=""),"quem liberou, ",""))-2)))</f>
        <v/>
      </c>
      <c r="R350" s="38"/>
      <c r="S350" s="38"/>
      <c r="T350" s="38"/>
      <c r="U350" s="40" t="str">
        <f aca="false">IF($A350="","",IFERROR(INDEX(Listas!$E$5:$E$64,MATCH($D350,Listas!$C$5:$C$64,0)),"Não"))</f>
        <v/>
      </c>
    </row>
    <row r="351" customFormat="false" ht="15" hidden="false" customHeight="false" outlineLevel="0" collapsed="false">
      <c r="A351" s="37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9" t="str">
        <f aca="false">IF(OR($A351="",$D351=""),"",$A351+IFERROR(INDEX(Listas!$D$5:$D$64,MATCH($D351,Listas!$C$5:$C$64,0)),3))</f>
        <v/>
      </c>
      <c r="N351" s="37"/>
      <c r="O351" s="40" t="str">
        <f aca="false">IF($A351="","",IF($K351="Concluído","Sim","Não"))</f>
        <v/>
      </c>
      <c r="P351" s="40" t="str">
        <f aca="true">IF($A351="","",IF($K351="Stand-by","Stand-by",IF($K351="Concluído","Concluída",IF(AND($M351&lt;&gt;"",$M351&lt;TODAY()),"Atrasada","Em dia"))))</f>
        <v/>
      </c>
      <c r="Q351" s="40" t="str">
        <f aca="false">IF($A351="","",IF(LEN(IF($J351="","título, ","")&amp;IF($C351="","responsável, ","")&amp;IF($D351="","tipo, ","")&amp;IF($I351="","canal, ","")&amp;IF($H351="","município, ","")&amp;IF(AND($U351="Sim",$E351=""),"empresa, ","")&amp;IF(AND($U351="Sim",$F351=""),"editor, ","")&amp;IF(AND($K351="Concluído",$N351=""),"data de conclusão, ","")&amp;IF(AND($K351="Concluído",$R351=""),"link, ","")&amp;IF(AND($K351="Concluído",$L351=""),"quem liberou, ",""))=0,"OK","Falta "&amp;LEFT(IF($J351="","título, ","")&amp;IF($C351="","responsável, ","")&amp;IF($D351="","tipo, ","")&amp;IF($I351="","canal, ","")&amp;IF($H351="","município, ","")&amp;IF(AND($U351="Sim",$E351=""),"empresa, ","")&amp;IF(AND($U351="Sim",$F351=""),"editor, ","")&amp;IF(AND($K351="Concluído",$N351=""),"data de conclusão, ","")&amp;IF(AND($K351="Concluído",$R351=""),"link, ","")&amp;IF(AND($K351="Concluído",$L351=""),"quem liberou, ",""),LEN(IF($J351="","título, ","")&amp;IF($C351="","responsável, ","")&amp;IF($D351="","tipo, ","")&amp;IF($I351="","canal, ","")&amp;IF($H351="","município, ","")&amp;IF(AND($U351="Sim",$E351=""),"empresa, ","")&amp;IF(AND($U351="Sim",$F351=""),"editor, ","")&amp;IF(AND($K351="Concluído",$N351=""),"data de conclusão, ","")&amp;IF(AND($K351="Concluído",$R351=""),"link, ","")&amp;IF(AND($K351="Concluído",$L351=""),"quem liberou, ",""))-2)))</f>
        <v/>
      </c>
      <c r="R351" s="38"/>
      <c r="S351" s="38"/>
      <c r="T351" s="38"/>
      <c r="U351" s="40" t="str">
        <f aca="false">IF($A351="","",IFERROR(INDEX(Listas!$E$5:$E$64,MATCH($D351,Listas!$C$5:$C$64,0)),"Não"))</f>
        <v/>
      </c>
    </row>
    <row r="352" customFormat="false" ht="15" hidden="false" customHeight="false" outlineLevel="0" collapsed="false">
      <c r="A352" s="37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9" t="str">
        <f aca="false">IF(OR($A352="",$D352=""),"",$A352+IFERROR(INDEX(Listas!$D$5:$D$64,MATCH($D352,Listas!$C$5:$C$64,0)),3))</f>
        <v/>
      </c>
      <c r="N352" s="37"/>
      <c r="O352" s="40" t="str">
        <f aca="false">IF($A352="","",IF($K352="Concluído","Sim","Não"))</f>
        <v/>
      </c>
      <c r="P352" s="40" t="str">
        <f aca="true">IF($A352="","",IF($K352="Stand-by","Stand-by",IF($K352="Concluído","Concluída",IF(AND($M352&lt;&gt;"",$M352&lt;TODAY()),"Atrasada","Em dia"))))</f>
        <v/>
      </c>
      <c r="Q352" s="40" t="str">
        <f aca="false">IF($A352="","",IF(LEN(IF($J352="","título, ","")&amp;IF($C352="","responsável, ","")&amp;IF($D352="","tipo, ","")&amp;IF($I352="","canal, ","")&amp;IF($H352="","município, ","")&amp;IF(AND($U352="Sim",$E352=""),"empresa, ","")&amp;IF(AND($U352="Sim",$F352=""),"editor, ","")&amp;IF(AND($K352="Concluído",$N352=""),"data de conclusão, ","")&amp;IF(AND($K352="Concluído",$R352=""),"link, ","")&amp;IF(AND($K352="Concluído",$L352=""),"quem liberou, ",""))=0,"OK","Falta "&amp;LEFT(IF($J352="","título, ","")&amp;IF($C352="","responsável, ","")&amp;IF($D352="","tipo, ","")&amp;IF($I352="","canal, ","")&amp;IF($H352="","município, ","")&amp;IF(AND($U352="Sim",$E352=""),"empresa, ","")&amp;IF(AND($U352="Sim",$F352=""),"editor, ","")&amp;IF(AND($K352="Concluído",$N352=""),"data de conclusão, ","")&amp;IF(AND($K352="Concluído",$R352=""),"link, ","")&amp;IF(AND($K352="Concluído",$L352=""),"quem liberou, ",""),LEN(IF($J352="","título, ","")&amp;IF($C352="","responsável, ","")&amp;IF($D352="","tipo, ","")&amp;IF($I352="","canal, ","")&amp;IF($H352="","município, ","")&amp;IF(AND($U352="Sim",$E352=""),"empresa, ","")&amp;IF(AND($U352="Sim",$F352=""),"editor, ","")&amp;IF(AND($K352="Concluído",$N352=""),"data de conclusão, ","")&amp;IF(AND($K352="Concluído",$R352=""),"link, ","")&amp;IF(AND($K352="Concluído",$L352=""),"quem liberou, ",""))-2)))</f>
        <v/>
      </c>
      <c r="R352" s="38"/>
      <c r="S352" s="38"/>
      <c r="T352" s="38"/>
      <c r="U352" s="40" t="str">
        <f aca="false">IF($A352="","",IFERROR(INDEX(Listas!$E$5:$E$64,MATCH($D352,Listas!$C$5:$C$64,0)),"Não"))</f>
        <v/>
      </c>
    </row>
    <row r="353" customFormat="false" ht="15" hidden="false" customHeight="false" outlineLevel="0" collapsed="false">
      <c r="A353" s="37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9" t="str">
        <f aca="false">IF(OR($A353="",$D353=""),"",$A353+IFERROR(INDEX(Listas!$D$5:$D$64,MATCH($D353,Listas!$C$5:$C$64,0)),3))</f>
        <v/>
      </c>
      <c r="N353" s="37"/>
      <c r="O353" s="40" t="str">
        <f aca="false">IF($A353="","",IF($K353="Concluído","Sim","Não"))</f>
        <v/>
      </c>
      <c r="P353" s="40" t="str">
        <f aca="true">IF($A353="","",IF($K353="Stand-by","Stand-by",IF($K353="Concluído","Concluída",IF(AND($M353&lt;&gt;"",$M353&lt;TODAY()),"Atrasada","Em dia"))))</f>
        <v/>
      </c>
      <c r="Q353" s="40" t="str">
        <f aca="false">IF($A353="","",IF(LEN(IF($J353="","título, ","")&amp;IF($C353="","responsável, ","")&amp;IF($D353="","tipo, ","")&amp;IF($I353="","canal, ","")&amp;IF($H353="","município, ","")&amp;IF(AND($U353="Sim",$E353=""),"empresa, ","")&amp;IF(AND($U353="Sim",$F353=""),"editor, ","")&amp;IF(AND($K353="Concluído",$N353=""),"data de conclusão, ","")&amp;IF(AND($K353="Concluído",$R353=""),"link, ","")&amp;IF(AND($K353="Concluído",$L353=""),"quem liberou, ",""))=0,"OK","Falta "&amp;LEFT(IF($J353="","título, ","")&amp;IF($C353="","responsável, ","")&amp;IF($D353="","tipo, ","")&amp;IF($I353="","canal, ","")&amp;IF($H353="","município, ","")&amp;IF(AND($U353="Sim",$E353=""),"empresa, ","")&amp;IF(AND($U353="Sim",$F353=""),"editor, ","")&amp;IF(AND($K353="Concluído",$N353=""),"data de conclusão, ","")&amp;IF(AND($K353="Concluído",$R353=""),"link, ","")&amp;IF(AND($K353="Concluído",$L353=""),"quem liberou, ",""),LEN(IF($J353="","título, ","")&amp;IF($C353="","responsável, ","")&amp;IF($D353="","tipo, ","")&amp;IF($I353="","canal, ","")&amp;IF($H353="","município, ","")&amp;IF(AND($U353="Sim",$E353=""),"empresa, ","")&amp;IF(AND($U353="Sim",$F353=""),"editor, ","")&amp;IF(AND($K353="Concluído",$N353=""),"data de conclusão, ","")&amp;IF(AND($K353="Concluído",$R353=""),"link, ","")&amp;IF(AND($K353="Concluído",$L353=""),"quem liberou, ",""))-2)))</f>
        <v/>
      </c>
      <c r="R353" s="38"/>
      <c r="S353" s="38"/>
      <c r="T353" s="38"/>
      <c r="U353" s="40" t="str">
        <f aca="false">IF($A353="","",IFERROR(INDEX(Listas!$E$5:$E$64,MATCH($D353,Listas!$C$5:$C$64,0)),"Não"))</f>
        <v/>
      </c>
    </row>
    <row r="354" customFormat="false" ht="15" hidden="false" customHeight="false" outlineLevel="0" collapsed="false">
      <c r="A354" s="37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9" t="str">
        <f aca="false">IF(OR($A354="",$D354=""),"",$A354+IFERROR(INDEX(Listas!$D$5:$D$64,MATCH($D354,Listas!$C$5:$C$64,0)),3))</f>
        <v/>
      </c>
      <c r="N354" s="37"/>
      <c r="O354" s="40" t="str">
        <f aca="false">IF($A354="","",IF($K354="Concluído","Sim","Não"))</f>
        <v/>
      </c>
      <c r="P354" s="40" t="str">
        <f aca="true">IF($A354="","",IF($K354="Stand-by","Stand-by",IF($K354="Concluído","Concluída",IF(AND($M354&lt;&gt;"",$M354&lt;TODAY()),"Atrasada","Em dia"))))</f>
        <v/>
      </c>
      <c r="Q354" s="40" t="str">
        <f aca="false">IF($A354="","",IF(LEN(IF($J354="","título, ","")&amp;IF($C354="","responsável, ","")&amp;IF($D354="","tipo, ","")&amp;IF($I354="","canal, ","")&amp;IF($H354="","município, ","")&amp;IF(AND($U354="Sim",$E354=""),"empresa, ","")&amp;IF(AND($U354="Sim",$F354=""),"editor, ","")&amp;IF(AND($K354="Concluído",$N354=""),"data de conclusão, ","")&amp;IF(AND($K354="Concluído",$R354=""),"link, ","")&amp;IF(AND($K354="Concluído",$L354=""),"quem liberou, ",""))=0,"OK","Falta "&amp;LEFT(IF($J354="","título, ","")&amp;IF($C354="","responsável, ","")&amp;IF($D354="","tipo, ","")&amp;IF($I354="","canal, ","")&amp;IF($H354="","município, ","")&amp;IF(AND($U354="Sim",$E354=""),"empresa, ","")&amp;IF(AND($U354="Sim",$F354=""),"editor, ","")&amp;IF(AND($K354="Concluído",$N354=""),"data de conclusão, ","")&amp;IF(AND($K354="Concluído",$R354=""),"link, ","")&amp;IF(AND($K354="Concluído",$L354=""),"quem liberou, ",""),LEN(IF($J354="","título, ","")&amp;IF($C354="","responsável, ","")&amp;IF($D354="","tipo, ","")&amp;IF($I354="","canal, ","")&amp;IF($H354="","município, ","")&amp;IF(AND($U354="Sim",$E354=""),"empresa, ","")&amp;IF(AND($U354="Sim",$F354=""),"editor, ","")&amp;IF(AND($K354="Concluído",$N354=""),"data de conclusão, ","")&amp;IF(AND($K354="Concluído",$R354=""),"link, ","")&amp;IF(AND($K354="Concluído",$L354=""),"quem liberou, ",""))-2)))</f>
        <v/>
      </c>
      <c r="R354" s="38"/>
      <c r="S354" s="38"/>
      <c r="T354" s="38"/>
      <c r="U354" s="40" t="str">
        <f aca="false">IF($A354="","",IFERROR(INDEX(Listas!$E$5:$E$64,MATCH($D354,Listas!$C$5:$C$64,0)),"Não"))</f>
        <v/>
      </c>
    </row>
    <row r="355" customFormat="false" ht="15" hidden="false" customHeight="false" outlineLevel="0" collapsed="false">
      <c r="A355" s="37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9" t="str">
        <f aca="false">IF(OR($A355="",$D355=""),"",$A355+IFERROR(INDEX(Listas!$D$5:$D$64,MATCH($D355,Listas!$C$5:$C$64,0)),3))</f>
        <v/>
      </c>
      <c r="N355" s="37"/>
      <c r="O355" s="40" t="str">
        <f aca="false">IF($A355="","",IF($K355="Concluído","Sim","Não"))</f>
        <v/>
      </c>
      <c r="P355" s="40" t="str">
        <f aca="true">IF($A355="","",IF($K355="Stand-by","Stand-by",IF($K355="Concluído","Concluída",IF(AND($M355&lt;&gt;"",$M355&lt;TODAY()),"Atrasada","Em dia"))))</f>
        <v/>
      </c>
      <c r="Q355" s="40" t="str">
        <f aca="false">IF($A355="","",IF(LEN(IF($J355="","título, ","")&amp;IF($C355="","responsável, ","")&amp;IF($D355="","tipo, ","")&amp;IF($I355="","canal, ","")&amp;IF($H355="","município, ","")&amp;IF(AND($U355="Sim",$E355=""),"empresa, ","")&amp;IF(AND($U355="Sim",$F355=""),"editor, ","")&amp;IF(AND($K355="Concluído",$N355=""),"data de conclusão, ","")&amp;IF(AND($K355="Concluído",$R355=""),"link, ","")&amp;IF(AND($K355="Concluído",$L355=""),"quem liberou, ",""))=0,"OK","Falta "&amp;LEFT(IF($J355="","título, ","")&amp;IF($C355="","responsável, ","")&amp;IF($D355="","tipo, ","")&amp;IF($I355="","canal, ","")&amp;IF($H355="","município, ","")&amp;IF(AND($U355="Sim",$E355=""),"empresa, ","")&amp;IF(AND($U355="Sim",$F355=""),"editor, ","")&amp;IF(AND($K355="Concluído",$N355=""),"data de conclusão, ","")&amp;IF(AND($K355="Concluído",$R355=""),"link, ","")&amp;IF(AND($K355="Concluído",$L355=""),"quem liberou, ",""),LEN(IF($J355="","título, ","")&amp;IF($C355="","responsável, ","")&amp;IF($D355="","tipo, ","")&amp;IF($I355="","canal, ","")&amp;IF($H355="","município, ","")&amp;IF(AND($U355="Sim",$E355=""),"empresa, ","")&amp;IF(AND($U355="Sim",$F355=""),"editor, ","")&amp;IF(AND($K355="Concluído",$N355=""),"data de conclusão, ","")&amp;IF(AND($K355="Concluído",$R355=""),"link, ","")&amp;IF(AND($K355="Concluído",$L355=""),"quem liberou, ",""))-2)))</f>
        <v/>
      </c>
      <c r="R355" s="38"/>
      <c r="S355" s="38"/>
      <c r="T355" s="38"/>
      <c r="U355" s="40" t="str">
        <f aca="false">IF($A355="","",IFERROR(INDEX(Listas!$E$5:$E$64,MATCH($D355,Listas!$C$5:$C$64,0)),"Não"))</f>
        <v/>
      </c>
    </row>
    <row r="356" customFormat="false" ht="15" hidden="false" customHeight="false" outlineLevel="0" collapsed="false">
      <c r="A356" s="37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9" t="str">
        <f aca="false">IF(OR($A356="",$D356=""),"",$A356+IFERROR(INDEX(Listas!$D$5:$D$64,MATCH($D356,Listas!$C$5:$C$64,0)),3))</f>
        <v/>
      </c>
      <c r="N356" s="37"/>
      <c r="O356" s="40" t="str">
        <f aca="false">IF($A356="","",IF($K356="Concluído","Sim","Não"))</f>
        <v/>
      </c>
      <c r="P356" s="40" t="str">
        <f aca="true">IF($A356="","",IF($K356="Stand-by","Stand-by",IF($K356="Concluído","Concluída",IF(AND($M356&lt;&gt;"",$M356&lt;TODAY()),"Atrasada","Em dia"))))</f>
        <v/>
      </c>
      <c r="Q356" s="40" t="str">
        <f aca="false">IF($A356="","",IF(LEN(IF($J356="","título, ","")&amp;IF($C356="","responsável, ","")&amp;IF($D356="","tipo, ","")&amp;IF($I356="","canal, ","")&amp;IF($H356="","município, ","")&amp;IF(AND($U356="Sim",$E356=""),"empresa, ","")&amp;IF(AND($U356="Sim",$F356=""),"editor, ","")&amp;IF(AND($K356="Concluído",$N356=""),"data de conclusão, ","")&amp;IF(AND($K356="Concluído",$R356=""),"link, ","")&amp;IF(AND($K356="Concluído",$L356=""),"quem liberou, ",""))=0,"OK","Falta "&amp;LEFT(IF($J356="","título, ","")&amp;IF($C356="","responsável, ","")&amp;IF($D356="","tipo, ","")&amp;IF($I356="","canal, ","")&amp;IF($H356="","município, ","")&amp;IF(AND($U356="Sim",$E356=""),"empresa, ","")&amp;IF(AND($U356="Sim",$F356=""),"editor, ","")&amp;IF(AND($K356="Concluído",$N356=""),"data de conclusão, ","")&amp;IF(AND($K356="Concluído",$R356=""),"link, ","")&amp;IF(AND($K356="Concluído",$L356=""),"quem liberou, ",""),LEN(IF($J356="","título, ","")&amp;IF($C356="","responsável, ","")&amp;IF($D356="","tipo, ","")&amp;IF($I356="","canal, ","")&amp;IF($H356="","município, ","")&amp;IF(AND($U356="Sim",$E356=""),"empresa, ","")&amp;IF(AND($U356="Sim",$F356=""),"editor, ","")&amp;IF(AND($K356="Concluído",$N356=""),"data de conclusão, ","")&amp;IF(AND($K356="Concluído",$R356=""),"link, ","")&amp;IF(AND($K356="Concluído",$L356=""),"quem liberou, ",""))-2)))</f>
        <v/>
      </c>
      <c r="R356" s="38"/>
      <c r="S356" s="38"/>
      <c r="T356" s="38"/>
      <c r="U356" s="40" t="str">
        <f aca="false">IF($A356="","",IFERROR(INDEX(Listas!$E$5:$E$64,MATCH($D356,Listas!$C$5:$C$64,0)),"Não"))</f>
        <v/>
      </c>
    </row>
    <row r="357" customFormat="false" ht="15" hidden="false" customHeight="false" outlineLevel="0" collapsed="false">
      <c r="A357" s="37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9" t="str">
        <f aca="false">IF(OR($A357="",$D357=""),"",$A357+IFERROR(INDEX(Listas!$D$5:$D$64,MATCH($D357,Listas!$C$5:$C$64,0)),3))</f>
        <v/>
      </c>
      <c r="N357" s="37"/>
      <c r="O357" s="40" t="str">
        <f aca="false">IF($A357="","",IF($K357="Concluído","Sim","Não"))</f>
        <v/>
      </c>
      <c r="P357" s="40" t="str">
        <f aca="true">IF($A357="","",IF($K357="Stand-by","Stand-by",IF($K357="Concluído","Concluída",IF(AND($M357&lt;&gt;"",$M357&lt;TODAY()),"Atrasada","Em dia"))))</f>
        <v/>
      </c>
      <c r="Q357" s="40" t="str">
        <f aca="false">IF($A357="","",IF(LEN(IF($J357="","título, ","")&amp;IF($C357="","responsável, ","")&amp;IF($D357="","tipo, ","")&amp;IF($I357="","canal, ","")&amp;IF($H357="","município, ","")&amp;IF(AND($U357="Sim",$E357=""),"empresa, ","")&amp;IF(AND($U357="Sim",$F357=""),"editor, ","")&amp;IF(AND($K357="Concluído",$N357=""),"data de conclusão, ","")&amp;IF(AND($K357="Concluído",$R357=""),"link, ","")&amp;IF(AND($K357="Concluído",$L357=""),"quem liberou, ",""))=0,"OK","Falta "&amp;LEFT(IF($J357="","título, ","")&amp;IF($C357="","responsável, ","")&amp;IF($D357="","tipo, ","")&amp;IF($I357="","canal, ","")&amp;IF($H357="","município, ","")&amp;IF(AND($U357="Sim",$E357=""),"empresa, ","")&amp;IF(AND($U357="Sim",$F357=""),"editor, ","")&amp;IF(AND($K357="Concluído",$N357=""),"data de conclusão, ","")&amp;IF(AND($K357="Concluído",$R357=""),"link, ","")&amp;IF(AND($K357="Concluído",$L357=""),"quem liberou, ",""),LEN(IF($J357="","título, ","")&amp;IF($C357="","responsável, ","")&amp;IF($D357="","tipo, ","")&amp;IF($I357="","canal, ","")&amp;IF($H357="","município, ","")&amp;IF(AND($U357="Sim",$E357=""),"empresa, ","")&amp;IF(AND($U357="Sim",$F357=""),"editor, ","")&amp;IF(AND($K357="Concluído",$N357=""),"data de conclusão, ","")&amp;IF(AND($K357="Concluído",$R357=""),"link, ","")&amp;IF(AND($K357="Concluído",$L357=""),"quem liberou, ",""))-2)))</f>
        <v/>
      </c>
      <c r="R357" s="38"/>
      <c r="S357" s="38"/>
      <c r="T357" s="38"/>
      <c r="U357" s="40" t="str">
        <f aca="false">IF($A357="","",IFERROR(INDEX(Listas!$E$5:$E$64,MATCH($D357,Listas!$C$5:$C$64,0)),"Não"))</f>
        <v/>
      </c>
    </row>
    <row r="358" customFormat="false" ht="15" hidden="false" customHeight="false" outlineLevel="0" collapsed="false">
      <c r="A358" s="37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9" t="str">
        <f aca="false">IF(OR($A358="",$D358=""),"",$A358+IFERROR(INDEX(Listas!$D$5:$D$64,MATCH($D358,Listas!$C$5:$C$64,0)),3))</f>
        <v/>
      </c>
      <c r="N358" s="37"/>
      <c r="O358" s="40" t="str">
        <f aca="false">IF($A358="","",IF($K358="Concluído","Sim","Não"))</f>
        <v/>
      </c>
      <c r="P358" s="40" t="str">
        <f aca="true">IF($A358="","",IF($K358="Stand-by","Stand-by",IF($K358="Concluído","Concluída",IF(AND($M358&lt;&gt;"",$M358&lt;TODAY()),"Atrasada","Em dia"))))</f>
        <v/>
      </c>
      <c r="Q358" s="40" t="str">
        <f aca="false">IF($A358="","",IF(LEN(IF($J358="","título, ","")&amp;IF($C358="","responsável, ","")&amp;IF($D358="","tipo, ","")&amp;IF($I358="","canal, ","")&amp;IF($H358="","município, ","")&amp;IF(AND($U358="Sim",$E358=""),"empresa, ","")&amp;IF(AND($U358="Sim",$F358=""),"editor, ","")&amp;IF(AND($K358="Concluído",$N358=""),"data de conclusão, ","")&amp;IF(AND($K358="Concluído",$R358=""),"link, ","")&amp;IF(AND($K358="Concluído",$L358=""),"quem liberou, ",""))=0,"OK","Falta "&amp;LEFT(IF($J358="","título, ","")&amp;IF($C358="","responsável, ","")&amp;IF($D358="","tipo, ","")&amp;IF($I358="","canal, ","")&amp;IF($H358="","município, ","")&amp;IF(AND($U358="Sim",$E358=""),"empresa, ","")&amp;IF(AND($U358="Sim",$F358=""),"editor, ","")&amp;IF(AND($K358="Concluído",$N358=""),"data de conclusão, ","")&amp;IF(AND($K358="Concluído",$R358=""),"link, ","")&amp;IF(AND($K358="Concluído",$L358=""),"quem liberou, ",""),LEN(IF($J358="","título, ","")&amp;IF($C358="","responsável, ","")&amp;IF($D358="","tipo, ","")&amp;IF($I358="","canal, ","")&amp;IF($H358="","município, ","")&amp;IF(AND($U358="Sim",$E358=""),"empresa, ","")&amp;IF(AND($U358="Sim",$F358=""),"editor, ","")&amp;IF(AND($K358="Concluído",$N358=""),"data de conclusão, ","")&amp;IF(AND($K358="Concluído",$R358=""),"link, ","")&amp;IF(AND($K358="Concluído",$L358=""),"quem liberou, ",""))-2)))</f>
        <v/>
      </c>
      <c r="R358" s="38"/>
      <c r="S358" s="38"/>
      <c r="T358" s="38"/>
      <c r="U358" s="40" t="str">
        <f aca="false">IF($A358="","",IFERROR(INDEX(Listas!$E$5:$E$64,MATCH($D358,Listas!$C$5:$C$64,0)),"Não"))</f>
        <v/>
      </c>
    </row>
    <row r="359" customFormat="false" ht="15" hidden="false" customHeight="false" outlineLevel="0" collapsed="false">
      <c r="A359" s="37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9" t="str">
        <f aca="false">IF(OR($A359="",$D359=""),"",$A359+IFERROR(INDEX(Listas!$D$5:$D$64,MATCH($D359,Listas!$C$5:$C$64,0)),3))</f>
        <v/>
      </c>
      <c r="N359" s="37"/>
      <c r="O359" s="40" t="str">
        <f aca="false">IF($A359="","",IF($K359="Concluído","Sim","Não"))</f>
        <v/>
      </c>
      <c r="P359" s="40" t="str">
        <f aca="true">IF($A359="","",IF($K359="Stand-by","Stand-by",IF($K359="Concluído","Concluída",IF(AND($M359&lt;&gt;"",$M359&lt;TODAY()),"Atrasada","Em dia"))))</f>
        <v/>
      </c>
      <c r="Q359" s="40" t="str">
        <f aca="false">IF($A359="","",IF(LEN(IF($J359="","título, ","")&amp;IF($C359="","responsável, ","")&amp;IF($D359="","tipo, ","")&amp;IF($I359="","canal, ","")&amp;IF($H359="","município, ","")&amp;IF(AND($U359="Sim",$E359=""),"empresa, ","")&amp;IF(AND($U359="Sim",$F359=""),"editor, ","")&amp;IF(AND($K359="Concluído",$N359=""),"data de conclusão, ","")&amp;IF(AND($K359="Concluído",$R359=""),"link, ","")&amp;IF(AND($K359="Concluído",$L359=""),"quem liberou, ",""))=0,"OK","Falta "&amp;LEFT(IF($J359="","título, ","")&amp;IF($C359="","responsável, ","")&amp;IF($D359="","tipo, ","")&amp;IF($I359="","canal, ","")&amp;IF($H359="","município, ","")&amp;IF(AND($U359="Sim",$E359=""),"empresa, ","")&amp;IF(AND($U359="Sim",$F359=""),"editor, ","")&amp;IF(AND($K359="Concluído",$N359=""),"data de conclusão, ","")&amp;IF(AND($K359="Concluído",$R359=""),"link, ","")&amp;IF(AND($K359="Concluído",$L359=""),"quem liberou, ",""),LEN(IF($J359="","título, ","")&amp;IF($C359="","responsável, ","")&amp;IF($D359="","tipo, ","")&amp;IF($I359="","canal, ","")&amp;IF($H359="","município, ","")&amp;IF(AND($U359="Sim",$E359=""),"empresa, ","")&amp;IF(AND($U359="Sim",$F359=""),"editor, ","")&amp;IF(AND($K359="Concluído",$N359=""),"data de conclusão, ","")&amp;IF(AND($K359="Concluído",$R359=""),"link, ","")&amp;IF(AND($K359="Concluído",$L359=""),"quem liberou, ",""))-2)))</f>
        <v/>
      </c>
      <c r="R359" s="38"/>
      <c r="S359" s="38"/>
      <c r="T359" s="38"/>
      <c r="U359" s="40" t="str">
        <f aca="false">IF($A359="","",IFERROR(INDEX(Listas!$E$5:$E$64,MATCH($D359,Listas!$C$5:$C$64,0)),"Não"))</f>
        <v/>
      </c>
    </row>
    <row r="360" customFormat="false" ht="15" hidden="false" customHeight="false" outlineLevel="0" collapsed="false">
      <c r="A360" s="37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9" t="str">
        <f aca="false">IF(OR($A360="",$D360=""),"",$A360+IFERROR(INDEX(Listas!$D$5:$D$64,MATCH($D360,Listas!$C$5:$C$64,0)),3))</f>
        <v/>
      </c>
      <c r="N360" s="37"/>
      <c r="O360" s="40" t="str">
        <f aca="false">IF($A360="","",IF($K360="Concluído","Sim","Não"))</f>
        <v/>
      </c>
      <c r="P360" s="40" t="str">
        <f aca="true">IF($A360="","",IF($K360="Stand-by","Stand-by",IF($K360="Concluído","Concluída",IF(AND($M360&lt;&gt;"",$M360&lt;TODAY()),"Atrasada","Em dia"))))</f>
        <v/>
      </c>
      <c r="Q360" s="40" t="str">
        <f aca="false">IF($A360="","",IF(LEN(IF($J360="","título, ","")&amp;IF($C360="","responsável, ","")&amp;IF($D360="","tipo, ","")&amp;IF($I360="","canal, ","")&amp;IF($H360="","município, ","")&amp;IF(AND($U360="Sim",$E360=""),"empresa, ","")&amp;IF(AND($U360="Sim",$F360=""),"editor, ","")&amp;IF(AND($K360="Concluído",$N360=""),"data de conclusão, ","")&amp;IF(AND($K360="Concluído",$R360=""),"link, ","")&amp;IF(AND($K360="Concluído",$L360=""),"quem liberou, ",""))=0,"OK","Falta "&amp;LEFT(IF($J360="","título, ","")&amp;IF($C360="","responsável, ","")&amp;IF($D360="","tipo, ","")&amp;IF($I360="","canal, ","")&amp;IF($H360="","município, ","")&amp;IF(AND($U360="Sim",$E360=""),"empresa, ","")&amp;IF(AND($U360="Sim",$F360=""),"editor, ","")&amp;IF(AND($K360="Concluído",$N360=""),"data de conclusão, ","")&amp;IF(AND($K360="Concluído",$R360=""),"link, ","")&amp;IF(AND($K360="Concluído",$L360=""),"quem liberou, ",""),LEN(IF($J360="","título, ","")&amp;IF($C360="","responsável, ","")&amp;IF($D360="","tipo, ","")&amp;IF($I360="","canal, ","")&amp;IF($H360="","município, ","")&amp;IF(AND($U360="Sim",$E360=""),"empresa, ","")&amp;IF(AND($U360="Sim",$F360=""),"editor, ","")&amp;IF(AND($K360="Concluído",$N360=""),"data de conclusão, ","")&amp;IF(AND($K360="Concluído",$R360=""),"link, ","")&amp;IF(AND($K360="Concluído",$L360=""),"quem liberou, ",""))-2)))</f>
        <v/>
      </c>
      <c r="R360" s="38"/>
      <c r="S360" s="38"/>
      <c r="T360" s="38"/>
      <c r="U360" s="40" t="str">
        <f aca="false">IF($A360="","",IFERROR(INDEX(Listas!$E$5:$E$64,MATCH($D360,Listas!$C$5:$C$64,0)),"Não"))</f>
        <v/>
      </c>
    </row>
    <row r="361" customFormat="false" ht="15" hidden="false" customHeight="false" outlineLevel="0" collapsed="false">
      <c r="A361" s="37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9" t="str">
        <f aca="false">IF(OR($A361="",$D361=""),"",$A361+IFERROR(INDEX(Listas!$D$5:$D$64,MATCH($D361,Listas!$C$5:$C$64,0)),3))</f>
        <v/>
      </c>
      <c r="N361" s="37"/>
      <c r="O361" s="40" t="str">
        <f aca="false">IF($A361="","",IF($K361="Concluído","Sim","Não"))</f>
        <v/>
      </c>
      <c r="P361" s="40" t="str">
        <f aca="true">IF($A361="","",IF($K361="Stand-by","Stand-by",IF($K361="Concluído","Concluída",IF(AND($M361&lt;&gt;"",$M361&lt;TODAY()),"Atrasada","Em dia"))))</f>
        <v/>
      </c>
      <c r="Q361" s="40" t="str">
        <f aca="false">IF($A361="","",IF(LEN(IF($J361="","título, ","")&amp;IF($C361="","responsável, ","")&amp;IF($D361="","tipo, ","")&amp;IF($I361="","canal, ","")&amp;IF($H361="","município, ","")&amp;IF(AND($U361="Sim",$E361=""),"empresa, ","")&amp;IF(AND($U361="Sim",$F361=""),"editor, ","")&amp;IF(AND($K361="Concluído",$N361=""),"data de conclusão, ","")&amp;IF(AND($K361="Concluído",$R361=""),"link, ","")&amp;IF(AND($K361="Concluído",$L361=""),"quem liberou, ",""))=0,"OK","Falta "&amp;LEFT(IF($J361="","título, ","")&amp;IF($C361="","responsável, ","")&amp;IF($D361="","tipo, ","")&amp;IF($I361="","canal, ","")&amp;IF($H361="","município, ","")&amp;IF(AND($U361="Sim",$E361=""),"empresa, ","")&amp;IF(AND($U361="Sim",$F361=""),"editor, ","")&amp;IF(AND($K361="Concluído",$N361=""),"data de conclusão, ","")&amp;IF(AND($K361="Concluído",$R361=""),"link, ","")&amp;IF(AND($K361="Concluído",$L361=""),"quem liberou, ",""),LEN(IF($J361="","título, ","")&amp;IF($C361="","responsável, ","")&amp;IF($D361="","tipo, ","")&amp;IF($I361="","canal, ","")&amp;IF($H361="","município, ","")&amp;IF(AND($U361="Sim",$E361=""),"empresa, ","")&amp;IF(AND($U361="Sim",$F361=""),"editor, ","")&amp;IF(AND($K361="Concluído",$N361=""),"data de conclusão, ","")&amp;IF(AND($K361="Concluído",$R361=""),"link, ","")&amp;IF(AND($K361="Concluído",$L361=""),"quem liberou, ",""))-2)))</f>
        <v/>
      </c>
      <c r="R361" s="38"/>
      <c r="S361" s="38"/>
      <c r="T361" s="38"/>
      <c r="U361" s="40" t="str">
        <f aca="false">IF($A361="","",IFERROR(INDEX(Listas!$E$5:$E$64,MATCH($D361,Listas!$C$5:$C$64,0)),"Não"))</f>
        <v/>
      </c>
    </row>
    <row r="362" customFormat="false" ht="15" hidden="false" customHeight="false" outlineLevel="0" collapsed="false">
      <c r="A362" s="37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9" t="str">
        <f aca="false">IF(OR($A362="",$D362=""),"",$A362+IFERROR(INDEX(Listas!$D$5:$D$64,MATCH($D362,Listas!$C$5:$C$64,0)),3))</f>
        <v/>
      </c>
      <c r="N362" s="37"/>
      <c r="O362" s="40" t="str">
        <f aca="false">IF($A362="","",IF($K362="Concluído","Sim","Não"))</f>
        <v/>
      </c>
      <c r="P362" s="40" t="str">
        <f aca="true">IF($A362="","",IF($K362="Stand-by","Stand-by",IF($K362="Concluído","Concluída",IF(AND($M362&lt;&gt;"",$M362&lt;TODAY()),"Atrasada","Em dia"))))</f>
        <v/>
      </c>
      <c r="Q362" s="40" t="str">
        <f aca="false">IF($A362="","",IF(LEN(IF($J362="","título, ","")&amp;IF($C362="","responsável, ","")&amp;IF($D362="","tipo, ","")&amp;IF($I362="","canal, ","")&amp;IF($H362="","município, ","")&amp;IF(AND($U362="Sim",$E362=""),"empresa, ","")&amp;IF(AND($U362="Sim",$F362=""),"editor, ","")&amp;IF(AND($K362="Concluído",$N362=""),"data de conclusão, ","")&amp;IF(AND($K362="Concluído",$R362=""),"link, ","")&amp;IF(AND($K362="Concluído",$L362=""),"quem liberou, ",""))=0,"OK","Falta "&amp;LEFT(IF($J362="","título, ","")&amp;IF($C362="","responsável, ","")&amp;IF($D362="","tipo, ","")&amp;IF($I362="","canal, ","")&amp;IF($H362="","município, ","")&amp;IF(AND($U362="Sim",$E362=""),"empresa, ","")&amp;IF(AND($U362="Sim",$F362=""),"editor, ","")&amp;IF(AND($K362="Concluído",$N362=""),"data de conclusão, ","")&amp;IF(AND($K362="Concluído",$R362=""),"link, ","")&amp;IF(AND($K362="Concluído",$L362=""),"quem liberou, ",""),LEN(IF($J362="","título, ","")&amp;IF($C362="","responsável, ","")&amp;IF($D362="","tipo, ","")&amp;IF($I362="","canal, ","")&amp;IF($H362="","município, ","")&amp;IF(AND($U362="Sim",$E362=""),"empresa, ","")&amp;IF(AND($U362="Sim",$F362=""),"editor, ","")&amp;IF(AND($K362="Concluído",$N362=""),"data de conclusão, ","")&amp;IF(AND($K362="Concluído",$R362=""),"link, ","")&amp;IF(AND($K362="Concluído",$L362=""),"quem liberou, ",""))-2)))</f>
        <v/>
      </c>
      <c r="R362" s="38"/>
      <c r="S362" s="38"/>
      <c r="T362" s="38"/>
      <c r="U362" s="40" t="str">
        <f aca="false">IF($A362="","",IFERROR(INDEX(Listas!$E$5:$E$64,MATCH($D362,Listas!$C$5:$C$64,0)),"Não"))</f>
        <v/>
      </c>
    </row>
    <row r="363" customFormat="false" ht="15" hidden="false" customHeight="false" outlineLevel="0" collapsed="false">
      <c r="A363" s="37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9" t="str">
        <f aca="false">IF(OR($A363="",$D363=""),"",$A363+IFERROR(INDEX(Listas!$D$5:$D$64,MATCH($D363,Listas!$C$5:$C$64,0)),3))</f>
        <v/>
      </c>
      <c r="N363" s="37"/>
      <c r="O363" s="40" t="str">
        <f aca="false">IF($A363="","",IF($K363="Concluído","Sim","Não"))</f>
        <v/>
      </c>
      <c r="P363" s="40" t="str">
        <f aca="true">IF($A363="","",IF($K363="Stand-by","Stand-by",IF($K363="Concluído","Concluída",IF(AND($M363&lt;&gt;"",$M363&lt;TODAY()),"Atrasada","Em dia"))))</f>
        <v/>
      </c>
      <c r="Q363" s="40" t="str">
        <f aca="false">IF($A363="","",IF(LEN(IF($J363="","título, ","")&amp;IF($C363="","responsável, ","")&amp;IF($D363="","tipo, ","")&amp;IF($I363="","canal, ","")&amp;IF($H363="","município, ","")&amp;IF(AND($U363="Sim",$E363=""),"empresa, ","")&amp;IF(AND($U363="Sim",$F363=""),"editor, ","")&amp;IF(AND($K363="Concluído",$N363=""),"data de conclusão, ","")&amp;IF(AND($K363="Concluído",$R363=""),"link, ","")&amp;IF(AND($K363="Concluído",$L363=""),"quem liberou, ",""))=0,"OK","Falta "&amp;LEFT(IF($J363="","título, ","")&amp;IF($C363="","responsável, ","")&amp;IF($D363="","tipo, ","")&amp;IF($I363="","canal, ","")&amp;IF($H363="","município, ","")&amp;IF(AND($U363="Sim",$E363=""),"empresa, ","")&amp;IF(AND($U363="Sim",$F363=""),"editor, ","")&amp;IF(AND($K363="Concluído",$N363=""),"data de conclusão, ","")&amp;IF(AND($K363="Concluído",$R363=""),"link, ","")&amp;IF(AND($K363="Concluído",$L363=""),"quem liberou, ",""),LEN(IF($J363="","título, ","")&amp;IF($C363="","responsável, ","")&amp;IF($D363="","tipo, ","")&amp;IF($I363="","canal, ","")&amp;IF($H363="","município, ","")&amp;IF(AND($U363="Sim",$E363=""),"empresa, ","")&amp;IF(AND($U363="Sim",$F363=""),"editor, ","")&amp;IF(AND($K363="Concluído",$N363=""),"data de conclusão, ","")&amp;IF(AND($K363="Concluído",$R363=""),"link, ","")&amp;IF(AND($K363="Concluído",$L363=""),"quem liberou, ",""))-2)))</f>
        <v/>
      </c>
      <c r="R363" s="38"/>
      <c r="S363" s="38"/>
      <c r="T363" s="38"/>
      <c r="U363" s="40" t="str">
        <f aca="false">IF($A363="","",IFERROR(INDEX(Listas!$E$5:$E$64,MATCH($D363,Listas!$C$5:$C$64,0)),"Não"))</f>
        <v/>
      </c>
    </row>
    <row r="364" customFormat="false" ht="15" hidden="false" customHeight="false" outlineLevel="0" collapsed="false">
      <c r="A364" s="37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9" t="str">
        <f aca="false">IF(OR($A364="",$D364=""),"",$A364+IFERROR(INDEX(Listas!$D$5:$D$64,MATCH($D364,Listas!$C$5:$C$64,0)),3))</f>
        <v/>
      </c>
      <c r="N364" s="37"/>
      <c r="O364" s="40" t="str">
        <f aca="false">IF($A364="","",IF($K364="Concluído","Sim","Não"))</f>
        <v/>
      </c>
      <c r="P364" s="40" t="str">
        <f aca="true">IF($A364="","",IF($K364="Stand-by","Stand-by",IF($K364="Concluído","Concluída",IF(AND($M364&lt;&gt;"",$M364&lt;TODAY()),"Atrasada","Em dia"))))</f>
        <v/>
      </c>
      <c r="Q364" s="40" t="str">
        <f aca="false">IF($A364="","",IF(LEN(IF($J364="","título, ","")&amp;IF($C364="","responsável, ","")&amp;IF($D364="","tipo, ","")&amp;IF($I364="","canal, ","")&amp;IF($H364="","município, ","")&amp;IF(AND($U364="Sim",$E364=""),"empresa, ","")&amp;IF(AND($U364="Sim",$F364=""),"editor, ","")&amp;IF(AND($K364="Concluído",$N364=""),"data de conclusão, ","")&amp;IF(AND($K364="Concluído",$R364=""),"link, ","")&amp;IF(AND($K364="Concluído",$L364=""),"quem liberou, ",""))=0,"OK","Falta "&amp;LEFT(IF($J364="","título, ","")&amp;IF($C364="","responsável, ","")&amp;IF($D364="","tipo, ","")&amp;IF($I364="","canal, ","")&amp;IF($H364="","município, ","")&amp;IF(AND($U364="Sim",$E364=""),"empresa, ","")&amp;IF(AND($U364="Sim",$F364=""),"editor, ","")&amp;IF(AND($K364="Concluído",$N364=""),"data de conclusão, ","")&amp;IF(AND($K364="Concluído",$R364=""),"link, ","")&amp;IF(AND($K364="Concluído",$L364=""),"quem liberou, ",""),LEN(IF($J364="","título, ","")&amp;IF($C364="","responsável, ","")&amp;IF($D364="","tipo, ","")&amp;IF($I364="","canal, ","")&amp;IF($H364="","município, ","")&amp;IF(AND($U364="Sim",$E364=""),"empresa, ","")&amp;IF(AND($U364="Sim",$F364=""),"editor, ","")&amp;IF(AND($K364="Concluído",$N364=""),"data de conclusão, ","")&amp;IF(AND($K364="Concluído",$R364=""),"link, ","")&amp;IF(AND($K364="Concluído",$L364=""),"quem liberou, ",""))-2)))</f>
        <v/>
      </c>
      <c r="R364" s="38"/>
      <c r="S364" s="38"/>
      <c r="T364" s="38"/>
      <c r="U364" s="40" t="str">
        <f aca="false">IF($A364="","",IFERROR(INDEX(Listas!$E$5:$E$64,MATCH($D364,Listas!$C$5:$C$64,0)),"Não"))</f>
        <v/>
      </c>
    </row>
    <row r="365" customFormat="false" ht="15" hidden="false" customHeight="false" outlineLevel="0" collapsed="false">
      <c r="A365" s="37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9" t="str">
        <f aca="false">IF(OR($A365="",$D365=""),"",$A365+IFERROR(INDEX(Listas!$D$5:$D$64,MATCH($D365,Listas!$C$5:$C$64,0)),3))</f>
        <v/>
      </c>
      <c r="N365" s="37"/>
      <c r="O365" s="40" t="str">
        <f aca="false">IF($A365="","",IF($K365="Concluído","Sim","Não"))</f>
        <v/>
      </c>
      <c r="P365" s="40" t="str">
        <f aca="true">IF($A365="","",IF($K365="Stand-by","Stand-by",IF($K365="Concluído","Concluída",IF(AND($M365&lt;&gt;"",$M365&lt;TODAY()),"Atrasada","Em dia"))))</f>
        <v/>
      </c>
      <c r="Q365" s="40" t="str">
        <f aca="false">IF($A365="","",IF(LEN(IF($J365="","título, ","")&amp;IF($C365="","responsável, ","")&amp;IF($D365="","tipo, ","")&amp;IF($I365="","canal, ","")&amp;IF($H365="","município, ","")&amp;IF(AND($U365="Sim",$E365=""),"empresa, ","")&amp;IF(AND($U365="Sim",$F365=""),"editor, ","")&amp;IF(AND($K365="Concluído",$N365=""),"data de conclusão, ","")&amp;IF(AND($K365="Concluído",$R365=""),"link, ","")&amp;IF(AND($K365="Concluído",$L365=""),"quem liberou, ",""))=0,"OK","Falta "&amp;LEFT(IF($J365="","título, ","")&amp;IF($C365="","responsável, ","")&amp;IF($D365="","tipo, ","")&amp;IF($I365="","canal, ","")&amp;IF($H365="","município, ","")&amp;IF(AND($U365="Sim",$E365=""),"empresa, ","")&amp;IF(AND($U365="Sim",$F365=""),"editor, ","")&amp;IF(AND($K365="Concluído",$N365=""),"data de conclusão, ","")&amp;IF(AND($K365="Concluído",$R365=""),"link, ","")&amp;IF(AND($K365="Concluído",$L365=""),"quem liberou, ",""),LEN(IF($J365="","título, ","")&amp;IF($C365="","responsável, ","")&amp;IF($D365="","tipo, ","")&amp;IF($I365="","canal, ","")&amp;IF($H365="","município, ","")&amp;IF(AND($U365="Sim",$E365=""),"empresa, ","")&amp;IF(AND($U365="Sim",$F365=""),"editor, ","")&amp;IF(AND($K365="Concluído",$N365=""),"data de conclusão, ","")&amp;IF(AND($K365="Concluído",$R365=""),"link, ","")&amp;IF(AND($K365="Concluído",$L365=""),"quem liberou, ",""))-2)))</f>
        <v/>
      </c>
      <c r="R365" s="38"/>
      <c r="S365" s="38"/>
      <c r="T365" s="38"/>
      <c r="U365" s="40" t="str">
        <f aca="false">IF($A365="","",IFERROR(INDEX(Listas!$E$5:$E$64,MATCH($D365,Listas!$C$5:$C$64,0)),"Não"))</f>
        <v/>
      </c>
    </row>
    <row r="366" customFormat="false" ht="15" hidden="false" customHeight="false" outlineLevel="0" collapsed="false">
      <c r="A366" s="37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9" t="str">
        <f aca="false">IF(OR($A366="",$D366=""),"",$A366+IFERROR(INDEX(Listas!$D$5:$D$64,MATCH($D366,Listas!$C$5:$C$64,0)),3))</f>
        <v/>
      </c>
      <c r="N366" s="37"/>
      <c r="O366" s="40" t="str">
        <f aca="false">IF($A366="","",IF($K366="Concluído","Sim","Não"))</f>
        <v/>
      </c>
      <c r="P366" s="40" t="str">
        <f aca="true">IF($A366="","",IF($K366="Stand-by","Stand-by",IF($K366="Concluído","Concluída",IF(AND($M366&lt;&gt;"",$M366&lt;TODAY()),"Atrasada","Em dia"))))</f>
        <v/>
      </c>
      <c r="Q366" s="40" t="str">
        <f aca="false">IF($A366="","",IF(LEN(IF($J366="","título, ","")&amp;IF($C366="","responsável, ","")&amp;IF($D366="","tipo, ","")&amp;IF($I366="","canal, ","")&amp;IF($H366="","município, ","")&amp;IF(AND($U366="Sim",$E366=""),"empresa, ","")&amp;IF(AND($U366="Sim",$F366=""),"editor, ","")&amp;IF(AND($K366="Concluído",$N366=""),"data de conclusão, ","")&amp;IF(AND($K366="Concluído",$R366=""),"link, ","")&amp;IF(AND($K366="Concluído",$L366=""),"quem liberou, ",""))=0,"OK","Falta "&amp;LEFT(IF($J366="","título, ","")&amp;IF($C366="","responsável, ","")&amp;IF($D366="","tipo, ","")&amp;IF($I366="","canal, ","")&amp;IF($H366="","município, ","")&amp;IF(AND($U366="Sim",$E366=""),"empresa, ","")&amp;IF(AND($U366="Sim",$F366=""),"editor, ","")&amp;IF(AND($K366="Concluído",$N366=""),"data de conclusão, ","")&amp;IF(AND($K366="Concluído",$R366=""),"link, ","")&amp;IF(AND($K366="Concluído",$L366=""),"quem liberou, ",""),LEN(IF($J366="","título, ","")&amp;IF($C366="","responsável, ","")&amp;IF($D366="","tipo, ","")&amp;IF($I366="","canal, ","")&amp;IF($H366="","município, ","")&amp;IF(AND($U366="Sim",$E366=""),"empresa, ","")&amp;IF(AND($U366="Sim",$F366=""),"editor, ","")&amp;IF(AND($K366="Concluído",$N366=""),"data de conclusão, ","")&amp;IF(AND($K366="Concluído",$R366=""),"link, ","")&amp;IF(AND($K366="Concluído",$L366=""),"quem liberou, ",""))-2)))</f>
        <v/>
      </c>
      <c r="R366" s="38"/>
      <c r="S366" s="38"/>
      <c r="T366" s="38"/>
      <c r="U366" s="40" t="str">
        <f aca="false">IF($A366="","",IFERROR(INDEX(Listas!$E$5:$E$64,MATCH($D366,Listas!$C$5:$C$64,0)),"Não"))</f>
        <v/>
      </c>
    </row>
    <row r="367" customFormat="false" ht="15" hidden="false" customHeight="false" outlineLevel="0" collapsed="false">
      <c r="A367" s="37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9" t="str">
        <f aca="false">IF(OR($A367="",$D367=""),"",$A367+IFERROR(INDEX(Listas!$D$5:$D$64,MATCH($D367,Listas!$C$5:$C$64,0)),3))</f>
        <v/>
      </c>
      <c r="N367" s="37"/>
      <c r="O367" s="40" t="str">
        <f aca="false">IF($A367="","",IF($K367="Concluído","Sim","Não"))</f>
        <v/>
      </c>
      <c r="P367" s="40" t="str">
        <f aca="true">IF($A367="","",IF($K367="Stand-by","Stand-by",IF($K367="Concluído","Concluída",IF(AND($M367&lt;&gt;"",$M367&lt;TODAY()),"Atrasada","Em dia"))))</f>
        <v/>
      </c>
      <c r="Q367" s="40" t="str">
        <f aca="false">IF($A367="","",IF(LEN(IF($J367="","título, ","")&amp;IF($C367="","responsável, ","")&amp;IF($D367="","tipo, ","")&amp;IF($I367="","canal, ","")&amp;IF($H367="","município, ","")&amp;IF(AND($U367="Sim",$E367=""),"empresa, ","")&amp;IF(AND($U367="Sim",$F367=""),"editor, ","")&amp;IF(AND($K367="Concluído",$N367=""),"data de conclusão, ","")&amp;IF(AND($K367="Concluído",$R367=""),"link, ","")&amp;IF(AND($K367="Concluído",$L367=""),"quem liberou, ",""))=0,"OK","Falta "&amp;LEFT(IF($J367="","título, ","")&amp;IF($C367="","responsável, ","")&amp;IF($D367="","tipo, ","")&amp;IF($I367="","canal, ","")&amp;IF($H367="","município, ","")&amp;IF(AND($U367="Sim",$E367=""),"empresa, ","")&amp;IF(AND($U367="Sim",$F367=""),"editor, ","")&amp;IF(AND($K367="Concluído",$N367=""),"data de conclusão, ","")&amp;IF(AND($K367="Concluído",$R367=""),"link, ","")&amp;IF(AND($K367="Concluído",$L367=""),"quem liberou, ",""),LEN(IF($J367="","título, ","")&amp;IF($C367="","responsável, ","")&amp;IF($D367="","tipo, ","")&amp;IF($I367="","canal, ","")&amp;IF($H367="","município, ","")&amp;IF(AND($U367="Sim",$E367=""),"empresa, ","")&amp;IF(AND($U367="Sim",$F367=""),"editor, ","")&amp;IF(AND($K367="Concluído",$N367=""),"data de conclusão, ","")&amp;IF(AND($K367="Concluído",$R367=""),"link, ","")&amp;IF(AND($K367="Concluído",$L367=""),"quem liberou, ",""))-2)))</f>
        <v/>
      </c>
      <c r="R367" s="38"/>
      <c r="S367" s="38"/>
      <c r="T367" s="38"/>
      <c r="U367" s="40" t="str">
        <f aca="false">IF($A367="","",IFERROR(INDEX(Listas!$E$5:$E$64,MATCH($D367,Listas!$C$5:$C$64,0)),"Não"))</f>
        <v/>
      </c>
    </row>
    <row r="368" customFormat="false" ht="15" hidden="false" customHeight="false" outlineLevel="0" collapsed="false">
      <c r="A368" s="37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9" t="str">
        <f aca="false">IF(OR($A368="",$D368=""),"",$A368+IFERROR(INDEX(Listas!$D$5:$D$64,MATCH($D368,Listas!$C$5:$C$64,0)),3))</f>
        <v/>
      </c>
      <c r="N368" s="37"/>
      <c r="O368" s="40" t="str">
        <f aca="false">IF($A368="","",IF($K368="Concluído","Sim","Não"))</f>
        <v/>
      </c>
      <c r="P368" s="40" t="str">
        <f aca="true">IF($A368="","",IF($K368="Stand-by","Stand-by",IF($K368="Concluído","Concluída",IF(AND($M368&lt;&gt;"",$M368&lt;TODAY()),"Atrasada","Em dia"))))</f>
        <v/>
      </c>
      <c r="Q368" s="40" t="str">
        <f aca="false">IF($A368="","",IF(LEN(IF($J368="","título, ","")&amp;IF($C368="","responsável, ","")&amp;IF($D368="","tipo, ","")&amp;IF($I368="","canal, ","")&amp;IF($H368="","município, ","")&amp;IF(AND($U368="Sim",$E368=""),"empresa, ","")&amp;IF(AND($U368="Sim",$F368=""),"editor, ","")&amp;IF(AND($K368="Concluído",$N368=""),"data de conclusão, ","")&amp;IF(AND($K368="Concluído",$R368=""),"link, ","")&amp;IF(AND($K368="Concluído",$L368=""),"quem liberou, ",""))=0,"OK","Falta "&amp;LEFT(IF($J368="","título, ","")&amp;IF($C368="","responsável, ","")&amp;IF($D368="","tipo, ","")&amp;IF($I368="","canal, ","")&amp;IF($H368="","município, ","")&amp;IF(AND($U368="Sim",$E368=""),"empresa, ","")&amp;IF(AND($U368="Sim",$F368=""),"editor, ","")&amp;IF(AND($K368="Concluído",$N368=""),"data de conclusão, ","")&amp;IF(AND($K368="Concluído",$R368=""),"link, ","")&amp;IF(AND($K368="Concluído",$L368=""),"quem liberou, ",""),LEN(IF($J368="","título, ","")&amp;IF($C368="","responsável, ","")&amp;IF($D368="","tipo, ","")&amp;IF($I368="","canal, ","")&amp;IF($H368="","município, ","")&amp;IF(AND($U368="Sim",$E368=""),"empresa, ","")&amp;IF(AND($U368="Sim",$F368=""),"editor, ","")&amp;IF(AND($K368="Concluído",$N368=""),"data de conclusão, ","")&amp;IF(AND($K368="Concluído",$R368=""),"link, ","")&amp;IF(AND($K368="Concluído",$L368=""),"quem liberou, ",""))-2)))</f>
        <v/>
      </c>
      <c r="R368" s="38"/>
      <c r="S368" s="38"/>
      <c r="T368" s="38"/>
      <c r="U368" s="40" t="str">
        <f aca="false">IF($A368="","",IFERROR(INDEX(Listas!$E$5:$E$64,MATCH($D368,Listas!$C$5:$C$64,0)),"Não"))</f>
        <v/>
      </c>
    </row>
    <row r="369" customFormat="false" ht="15" hidden="false" customHeight="false" outlineLevel="0" collapsed="false">
      <c r="A369" s="37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9" t="str">
        <f aca="false">IF(OR($A369="",$D369=""),"",$A369+IFERROR(INDEX(Listas!$D$5:$D$64,MATCH($D369,Listas!$C$5:$C$64,0)),3))</f>
        <v/>
      </c>
      <c r="N369" s="37"/>
      <c r="O369" s="40" t="str">
        <f aca="false">IF($A369="","",IF($K369="Concluído","Sim","Não"))</f>
        <v/>
      </c>
      <c r="P369" s="40" t="str">
        <f aca="true">IF($A369="","",IF($K369="Stand-by","Stand-by",IF($K369="Concluído","Concluída",IF(AND($M369&lt;&gt;"",$M369&lt;TODAY()),"Atrasada","Em dia"))))</f>
        <v/>
      </c>
      <c r="Q369" s="40" t="str">
        <f aca="false">IF($A369="","",IF(LEN(IF($J369="","título, ","")&amp;IF($C369="","responsável, ","")&amp;IF($D369="","tipo, ","")&amp;IF($I369="","canal, ","")&amp;IF($H369="","município, ","")&amp;IF(AND($U369="Sim",$E369=""),"empresa, ","")&amp;IF(AND($U369="Sim",$F369=""),"editor, ","")&amp;IF(AND($K369="Concluído",$N369=""),"data de conclusão, ","")&amp;IF(AND($K369="Concluído",$R369=""),"link, ","")&amp;IF(AND($K369="Concluído",$L369=""),"quem liberou, ",""))=0,"OK","Falta "&amp;LEFT(IF($J369="","título, ","")&amp;IF($C369="","responsável, ","")&amp;IF($D369="","tipo, ","")&amp;IF($I369="","canal, ","")&amp;IF($H369="","município, ","")&amp;IF(AND($U369="Sim",$E369=""),"empresa, ","")&amp;IF(AND($U369="Sim",$F369=""),"editor, ","")&amp;IF(AND($K369="Concluído",$N369=""),"data de conclusão, ","")&amp;IF(AND($K369="Concluído",$R369=""),"link, ","")&amp;IF(AND($K369="Concluído",$L369=""),"quem liberou, ",""),LEN(IF($J369="","título, ","")&amp;IF($C369="","responsável, ","")&amp;IF($D369="","tipo, ","")&amp;IF($I369="","canal, ","")&amp;IF($H369="","município, ","")&amp;IF(AND($U369="Sim",$E369=""),"empresa, ","")&amp;IF(AND($U369="Sim",$F369=""),"editor, ","")&amp;IF(AND($K369="Concluído",$N369=""),"data de conclusão, ","")&amp;IF(AND($K369="Concluído",$R369=""),"link, ","")&amp;IF(AND($K369="Concluído",$L369=""),"quem liberou, ",""))-2)))</f>
        <v/>
      </c>
      <c r="R369" s="38"/>
      <c r="S369" s="38"/>
      <c r="T369" s="38"/>
      <c r="U369" s="40" t="str">
        <f aca="false">IF($A369="","",IFERROR(INDEX(Listas!$E$5:$E$64,MATCH($D369,Listas!$C$5:$C$64,0)),"Não"))</f>
        <v/>
      </c>
    </row>
    <row r="370" customFormat="false" ht="15" hidden="false" customHeight="false" outlineLevel="0" collapsed="false">
      <c r="A370" s="37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9" t="str">
        <f aca="false">IF(OR($A370="",$D370=""),"",$A370+IFERROR(INDEX(Listas!$D$5:$D$64,MATCH($D370,Listas!$C$5:$C$64,0)),3))</f>
        <v/>
      </c>
      <c r="N370" s="37"/>
      <c r="O370" s="40" t="str">
        <f aca="false">IF($A370="","",IF($K370="Concluído","Sim","Não"))</f>
        <v/>
      </c>
      <c r="P370" s="40" t="str">
        <f aca="true">IF($A370="","",IF($K370="Stand-by","Stand-by",IF($K370="Concluído","Concluída",IF(AND($M370&lt;&gt;"",$M370&lt;TODAY()),"Atrasada","Em dia"))))</f>
        <v/>
      </c>
      <c r="Q370" s="40" t="str">
        <f aca="false">IF($A370="","",IF(LEN(IF($J370="","título, ","")&amp;IF($C370="","responsável, ","")&amp;IF($D370="","tipo, ","")&amp;IF($I370="","canal, ","")&amp;IF($H370="","município, ","")&amp;IF(AND($U370="Sim",$E370=""),"empresa, ","")&amp;IF(AND($U370="Sim",$F370=""),"editor, ","")&amp;IF(AND($K370="Concluído",$N370=""),"data de conclusão, ","")&amp;IF(AND($K370="Concluído",$R370=""),"link, ","")&amp;IF(AND($K370="Concluído",$L370=""),"quem liberou, ",""))=0,"OK","Falta "&amp;LEFT(IF($J370="","título, ","")&amp;IF($C370="","responsável, ","")&amp;IF($D370="","tipo, ","")&amp;IF($I370="","canal, ","")&amp;IF($H370="","município, ","")&amp;IF(AND($U370="Sim",$E370=""),"empresa, ","")&amp;IF(AND($U370="Sim",$F370=""),"editor, ","")&amp;IF(AND($K370="Concluído",$N370=""),"data de conclusão, ","")&amp;IF(AND($K370="Concluído",$R370=""),"link, ","")&amp;IF(AND($K370="Concluído",$L370=""),"quem liberou, ",""),LEN(IF($J370="","título, ","")&amp;IF($C370="","responsável, ","")&amp;IF($D370="","tipo, ","")&amp;IF($I370="","canal, ","")&amp;IF($H370="","município, ","")&amp;IF(AND($U370="Sim",$E370=""),"empresa, ","")&amp;IF(AND($U370="Sim",$F370=""),"editor, ","")&amp;IF(AND($K370="Concluído",$N370=""),"data de conclusão, ","")&amp;IF(AND($K370="Concluído",$R370=""),"link, ","")&amp;IF(AND($K370="Concluído",$L370=""),"quem liberou, ",""))-2)))</f>
        <v/>
      </c>
      <c r="R370" s="38"/>
      <c r="S370" s="38"/>
      <c r="T370" s="38"/>
      <c r="U370" s="40" t="str">
        <f aca="false">IF($A370="","",IFERROR(INDEX(Listas!$E$5:$E$64,MATCH($D370,Listas!$C$5:$C$64,0)),"Não"))</f>
        <v/>
      </c>
    </row>
    <row r="371" customFormat="false" ht="15" hidden="false" customHeight="false" outlineLevel="0" collapsed="false">
      <c r="A371" s="37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9" t="str">
        <f aca="false">IF(OR($A371="",$D371=""),"",$A371+IFERROR(INDEX(Listas!$D$5:$D$64,MATCH($D371,Listas!$C$5:$C$64,0)),3))</f>
        <v/>
      </c>
      <c r="N371" s="37"/>
      <c r="O371" s="40" t="str">
        <f aca="false">IF($A371="","",IF($K371="Concluído","Sim","Não"))</f>
        <v/>
      </c>
      <c r="P371" s="40" t="str">
        <f aca="true">IF($A371="","",IF($K371="Stand-by","Stand-by",IF($K371="Concluído","Concluída",IF(AND($M371&lt;&gt;"",$M371&lt;TODAY()),"Atrasada","Em dia"))))</f>
        <v/>
      </c>
      <c r="Q371" s="40" t="str">
        <f aca="false">IF($A371="","",IF(LEN(IF($J371="","título, ","")&amp;IF($C371="","responsável, ","")&amp;IF($D371="","tipo, ","")&amp;IF($I371="","canal, ","")&amp;IF($H371="","município, ","")&amp;IF(AND($U371="Sim",$E371=""),"empresa, ","")&amp;IF(AND($U371="Sim",$F371=""),"editor, ","")&amp;IF(AND($K371="Concluído",$N371=""),"data de conclusão, ","")&amp;IF(AND($K371="Concluído",$R371=""),"link, ","")&amp;IF(AND($K371="Concluído",$L371=""),"quem liberou, ",""))=0,"OK","Falta "&amp;LEFT(IF($J371="","título, ","")&amp;IF($C371="","responsável, ","")&amp;IF($D371="","tipo, ","")&amp;IF($I371="","canal, ","")&amp;IF($H371="","município, ","")&amp;IF(AND($U371="Sim",$E371=""),"empresa, ","")&amp;IF(AND($U371="Sim",$F371=""),"editor, ","")&amp;IF(AND($K371="Concluído",$N371=""),"data de conclusão, ","")&amp;IF(AND($K371="Concluído",$R371=""),"link, ","")&amp;IF(AND($K371="Concluído",$L371=""),"quem liberou, ",""),LEN(IF($J371="","título, ","")&amp;IF($C371="","responsável, ","")&amp;IF($D371="","tipo, ","")&amp;IF($I371="","canal, ","")&amp;IF($H371="","município, ","")&amp;IF(AND($U371="Sim",$E371=""),"empresa, ","")&amp;IF(AND($U371="Sim",$F371=""),"editor, ","")&amp;IF(AND($K371="Concluído",$N371=""),"data de conclusão, ","")&amp;IF(AND($K371="Concluído",$R371=""),"link, ","")&amp;IF(AND($K371="Concluído",$L371=""),"quem liberou, ",""))-2)))</f>
        <v/>
      </c>
      <c r="R371" s="38"/>
      <c r="S371" s="38"/>
      <c r="T371" s="38"/>
      <c r="U371" s="40" t="str">
        <f aca="false">IF($A371="","",IFERROR(INDEX(Listas!$E$5:$E$64,MATCH($D371,Listas!$C$5:$C$64,0)),"Não"))</f>
        <v/>
      </c>
    </row>
    <row r="372" customFormat="false" ht="15" hidden="false" customHeight="false" outlineLevel="0" collapsed="false">
      <c r="A372" s="37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9" t="str">
        <f aca="false">IF(OR($A372="",$D372=""),"",$A372+IFERROR(INDEX(Listas!$D$5:$D$64,MATCH($D372,Listas!$C$5:$C$64,0)),3))</f>
        <v/>
      </c>
      <c r="N372" s="37"/>
      <c r="O372" s="40" t="str">
        <f aca="false">IF($A372="","",IF($K372="Concluído","Sim","Não"))</f>
        <v/>
      </c>
      <c r="P372" s="40" t="str">
        <f aca="true">IF($A372="","",IF($K372="Stand-by","Stand-by",IF($K372="Concluído","Concluída",IF(AND($M372&lt;&gt;"",$M372&lt;TODAY()),"Atrasada","Em dia"))))</f>
        <v/>
      </c>
      <c r="Q372" s="40" t="str">
        <f aca="false">IF($A372="","",IF(LEN(IF($J372="","título, ","")&amp;IF($C372="","responsável, ","")&amp;IF($D372="","tipo, ","")&amp;IF($I372="","canal, ","")&amp;IF($H372="","município, ","")&amp;IF(AND($U372="Sim",$E372=""),"empresa, ","")&amp;IF(AND($U372="Sim",$F372=""),"editor, ","")&amp;IF(AND($K372="Concluído",$N372=""),"data de conclusão, ","")&amp;IF(AND($K372="Concluído",$R372=""),"link, ","")&amp;IF(AND($K372="Concluído",$L372=""),"quem liberou, ",""))=0,"OK","Falta "&amp;LEFT(IF($J372="","título, ","")&amp;IF($C372="","responsável, ","")&amp;IF($D372="","tipo, ","")&amp;IF($I372="","canal, ","")&amp;IF($H372="","município, ","")&amp;IF(AND($U372="Sim",$E372=""),"empresa, ","")&amp;IF(AND($U372="Sim",$F372=""),"editor, ","")&amp;IF(AND($K372="Concluído",$N372=""),"data de conclusão, ","")&amp;IF(AND($K372="Concluído",$R372=""),"link, ","")&amp;IF(AND($K372="Concluído",$L372=""),"quem liberou, ",""),LEN(IF($J372="","título, ","")&amp;IF($C372="","responsável, ","")&amp;IF($D372="","tipo, ","")&amp;IF($I372="","canal, ","")&amp;IF($H372="","município, ","")&amp;IF(AND($U372="Sim",$E372=""),"empresa, ","")&amp;IF(AND($U372="Sim",$F372=""),"editor, ","")&amp;IF(AND($K372="Concluído",$N372=""),"data de conclusão, ","")&amp;IF(AND($K372="Concluído",$R372=""),"link, ","")&amp;IF(AND($K372="Concluído",$L372=""),"quem liberou, ",""))-2)))</f>
        <v/>
      </c>
      <c r="R372" s="38"/>
      <c r="S372" s="38"/>
      <c r="T372" s="38"/>
      <c r="U372" s="40" t="str">
        <f aca="false">IF($A372="","",IFERROR(INDEX(Listas!$E$5:$E$64,MATCH($D372,Listas!$C$5:$C$64,0)),"Não"))</f>
        <v/>
      </c>
    </row>
    <row r="373" customFormat="false" ht="15" hidden="false" customHeight="false" outlineLevel="0" collapsed="false">
      <c r="A373" s="37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9" t="str">
        <f aca="false">IF(OR($A373="",$D373=""),"",$A373+IFERROR(INDEX(Listas!$D$5:$D$64,MATCH($D373,Listas!$C$5:$C$64,0)),3))</f>
        <v/>
      </c>
      <c r="N373" s="37"/>
      <c r="O373" s="40" t="str">
        <f aca="false">IF($A373="","",IF($K373="Concluído","Sim","Não"))</f>
        <v/>
      </c>
      <c r="P373" s="40" t="str">
        <f aca="true">IF($A373="","",IF($K373="Stand-by","Stand-by",IF($K373="Concluído","Concluída",IF(AND($M373&lt;&gt;"",$M373&lt;TODAY()),"Atrasada","Em dia"))))</f>
        <v/>
      </c>
      <c r="Q373" s="40" t="str">
        <f aca="false">IF($A373="","",IF(LEN(IF($J373="","título, ","")&amp;IF($C373="","responsável, ","")&amp;IF($D373="","tipo, ","")&amp;IF($I373="","canal, ","")&amp;IF($H373="","município, ","")&amp;IF(AND($U373="Sim",$E373=""),"empresa, ","")&amp;IF(AND($U373="Sim",$F373=""),"editor, ","")&amp;IF(AND($K373="Concluído",$N373=""),"data de conclusão, ","")&amp;IF(AND($K373="Concluído",$R373=""),"link, ","")&amp;IF(AND($K373="Concluído",$L373=""),"quem liberou, ",""))=0,"OK","Falta "&amp;LEFT(IF($J373="","título, ","")&amp;IF($C373="","responsável, ","")&amp;IF($D373="","tipo, ","")&amp;IF($I373="","canal, ","")&amp;IF($H373="","município, ","")&amp;IF(AND($U373="Sim",$E373=""),"empresa, ","")&amp;IF(AND($U373="Sim",$F373=""),"editor, ","")&amp;IF(AND($K373="Concluído",$N373=""),"data de conclusão, ","")&amp;IF(AND($K373="Concluído",$R373=""),"link, ","")&amp;IF(AND($K373="Concluído",$L373=""),"quem liberou, ",""),LEN(IF($J373="","título, ","")&amp;IF($C373="","responsável, ","")&amp;IF($D373="","tipo, ","")&amp;IF($I373="","canal, ","")&amp;IF($H373="","município, ","")&amp;IF(AND($U373="Sim",$E373=""),"empresa, ","")&amp;IF(AND($U373="Sim",$F373=""),"editor, ","")&amp;IF(AND($K373="Concluído",$N373=""),"data de conclusão, ","")&amp;IF(AND($K373="Concluído",$R373=""),"link, ","")&amp;IF(AND($K373="Concluído",$L373=""),"quem liberou, ",""))-2)))</f>
        <v/>
      </c>
      <c r="R373" s="38"/>
      <c r="S373" s="38"/>
      <c r="T373" s="38"/>
      <c r="U373" s="40" t="str">
        <f aca="false">IF($A373="","",IFERROR(INDEX(Listas!$E$5:$E$64,MATCH($D373,Listas!$C$5:$C$64,0)),"Não"))</f>
        <v/>
      </c>
    </row>
    <row r="374" customFormat="false" ht="15" hidden="false" customHeight="false" outlineLevel="0" collapsed="false">
      <c r="A374" s="37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9" t="str">
        <f aca="false">IF(OR($A374="",$D374=""),"",$A374+IFERROR(INDEX(Listas!$D$5:$D$64,MATCH($D374,Listas!$C$5:$C$64,0)),3))</f>
        <v/>
      </c>
      <c r="N374" s="37"/>
      <c r="O374" s="40" t="str">
        <f aca="false">IF($A374="","",IF($K374="Concluído","Sim","Não"))</f>
        <v/>
      </c>
      <c r="P374" s="40" t="str">
        <f aca="true">IF($A374="","",IF($K374="Stand-by","Stand-by",IF($K374="Concluído","Concluída",IF(AND($M374&lt;&gt;"",$M374&lt;TODAY()),"Atrasada","Em dia"))))</f>
        <v/>
      </c>
      <c r="Q374" s="40" t="str">
        <f aca="false">IF($A374="","",IF(LEN(IF($J374="","título, ","")&amp;IF($C374="","responsável, ","")&amp;IF($D374="","tipo, ","")&amp;IF($I374="","canal, ","")&amp;IF($H374="","município, ","")&amp;IF(AND($U374="Sim",$E374=""),"empresa, ","")&amp;IF(AND($U374="Sim",$F374=""),"editor, ","")&amp;IF(AND($K374="Concluído",$N374=""),"data de conclusão, ","")&amp;IF(AND($K374="Concluído",$R374=""),"link, ","")&amp;IF(AND($K374="Concluído",$L374=""),"quem liberou, ",""))=0,"OK","Falta "&amp;LEFT(IF($J374="","título, ","")&amp;IF($C374="","responsável, ","")&amp;IF($D374="","tipo, ","")&amp;IF($I374="","canal, ","")&amp;IF($H374="","município, ","")&amp;IF(AND($U374="Sim",$E374=""),"empresa, ","")&amp;IF(AND($U374="Sim",$F374=""),"editor, ","")&amp;IF(AND($K374="Concluído",$N374=""),"data de conclusão, ","")&amp;IF(AND($K374="Concluído",$R374=""),"link, ","")&amp;IF(AND($K374="Concluído",$L374=""),"quem liberou, ",""),LEN(IF($J374="","título, ","")&amp;IF($C374="","responsável, ","")&amp;IF($D374="","tipo, ","")&amp;IF($I374="","canal, ","")&amp;IF($H374="","município, ","")&amp;IF(AND($U374="Sim",$E374=""),"empresa, ","")&amp;IF(AND($U374="Sim",$F374=""),"editor, ","")&amp;IF(AND($K374="Concluído",$N374=""),"data de conclusão, ","")&amp;IF(AND($K374="Concluído",$R374=""),"link, ","")&amp;IF(AND($K374="Concluído",$L374=""),"quem liberou, ",""))-2)))</f>
        <v/>
      </c>
      <c r="R374" s="38"/>
      <c r="S374" s="38"/>
      <c r="T374" s="38"/>
      <c r="U374" s="40" t="str">
        <f aca="false">IF($A374="","",IFERROR(INDEX(Listas!$E$5:$E$64,MATCH($D374,Listas!$C$5:$C$64,0)),"Não"))</f>
        <v/>
      </c>
    </row>
    <row r="375" customFormat="false" ht="15" hidden="false" customHeight="false" outlineLevel="0" collapsed="false">
      <c r="A375" s="37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9" t="str">
        <f aca="false">IF(OR($A375="",$D375=""),"",$A375+IFERROR(INDEX(Listas!$D$5:$D$64,MATCH($D375,Listas!$C$5:$C$64,0)),3))</f>
        <v/>
      </c>
      <c r="N375" s="37"/>
      <c r="O375" s="40" t="str">
        <f aca="false">IF($A375="","",IF($K375="Concluído","Sim","Não"))</f>
        <v/>
      </c>
      <c r="P375" s="40" t="str">
        <f aca="true">IF($A375="","",IF($K375="Stand-by","Stand-by",IF($K375="Concluído","Concluída",IF(AND($M375&lt;&gt;"",$M375&lt;TODAY()),"Atrasada","Em dia"))))</f>
        <v/>
      </c>
      <c r="Q375" s="40" t="str">
        <f aca="false">IF($A375="","",IF(LEN(IF($J375="","título, ","")&amp;IF($C375="","responsável, ","")&amp;IF($D375="","tipo, ","")&amp;IF($I375="","canal, ","")&amp;IF($H375="","município, ","")&amp;IF(AND($U375="Sim",$E375=""),"empresa, ","")&amp;IF(AND($U375="Sim",$F375=""),"editor, ","")&amp;IF(AND($K375="Concluído",$N375=""),"data de conclusão, ","")&amp;IF(AND($K375="Concluído",$R375=""),"link, ","")&amp;IF(AND($K375="Concluído",$L375=""),"quem liberou, ",""))=0,"OK","Falta "&amp;LEFT(IF($J375="","título, ","")&amp;IF($C375="","responsável, ","")&amp;IF($D375="","tipo, ","")&amp;IF($I375="","canal, ","")&amp;IF($H375="","município, ","")&amp;IF(AND($U375="Sim",$E375=""),"empresa, ","")&amp;IF(AND($U375="Sim",$F375=""),"editor, ","")&amp;IF(AND($K375="Concluído",$N375=""),"data de conclusão, ","")&amp;IF(AND($K375="Concluído",$R375=""),"link, ","")&amp;IF(AND($K375="Concluído",$L375=""),"quem liberou, ",""),LEN(IF($J375="","título, ","")&amp;IF($C375="","responsável, ","")&amp;IF($D375="","tipo, ","")&amp;IF($I375="","canal, ","")&amp;IF($H375="","município, ","")&amp;IF(AND($U375="Sim",$E375=""),"empresa, ","")&amp;IF(AND($U375="Sim",$F375=""),"editor, ","")&amp;IF(AND($K375="Concluído",$N375=""),"data de conclusão, ","")&amp;IF(AND($K375="Concluído",$R375=""),"link, ","")&amp;IF(AND($K375="Concluído",$L375=""),"quem liberou, ",""))-2)))</f>
        <v/>
      </c>
      <c r="R375" s="38"/>
      <c r="S375" s="38"/>
      <c r="T375" s="38"/>
      <c r="U375" s="40" t="str">
        <f aca="false">IF($A375="","",IFERROR(INDEX(Listas!$E$5:$E$64,MATCH($D375,Listas!$C$5:$C$64,0)),"Não"))</f>
        <v/>
      </c>
    </row>
    <row r="376" customFormat="false" ht="15" hidden="false" customHeight="false" outlineLevel="0" collapsed="false">
      <c r="A376" s="37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9" t="str">
        <f aca="false">IF(OR($A376="",$D376=""),"",$A376+IFERROR(INDEX(Listas!$D$5:$D$64,MATCH($D376,Listas!$C$5:$C$64,0)),3))</f>
        <v/>
      </c>
      <c r="N376" s="37"/>
      <c r="O376" s="40" t="str">
        <f aca="false">IF($A376="","",IF($K376="Concluído","Sim","Não"))</f>
        <v/>
      </c>
      <c r="P376" s="40" t="str">
        <f aca="true">IF($A376="","",IF($K376="Stand-by","Stand-by",IF($K376="Concluído","Concluída",IF(AND($M376&lt;&gt;"",$M376&lt;TODAY()),"Atrasada","Em dia"))))</f>
        <v/>
      </c>
      <c r="Q376" s="40" t="str">
        <f aca="false">IF($A376="","",IF(LEN(IF($J376="","título, ","")&amp;IF($C376="","responsável, ","")&amp;IF($D376="","tipo, ","")&amp;IF($I376="","canal, ","")&amp;IF($H376="","município, ","")&amp;IF(AND($U376="Sim",$E376=""),"empresa, ","")&amp;IF(AND($U376="Sim",$F376=""),"editor, ","")&amp;IF(AND($K376="Concluído",$N376=""),"data de conclusão, ","")&amp;IF(AND($K376="Concluído",$R376=""),"link, ","")&amp;IF(AND($K376="Concluído",$L376=""),"quem liberou, ",""))=0,"OK","Falta "&amp;LEFT(IF($J376="","título, ","")&amp;IF($C376="","responsável, ","")&amp;IF($D376="","tipo, ","")&amp;IF($I376="","canal, ","")&amp;IF($H376="","município, ","")&amp;IF(AND($U376="Sim",$E376=""),"empresa, ","")&amp;IF(AND($U376="Sim",$F376=""),"editor, ","")&amp;IF(AND($K376="Concluído",$N376=""),"data de conclusão, ","")&amp;IF(AND($K376="Concluído",$R376=""),"link, ","")&amp;IF(AND($K376="Concluído",$L376=""),"quem liberou, ",""),LEN(IF($J376="","título, ","")&amp;IF($C376="","responsável, ","")&amp;IF($D376="","tipo, ","")&amp;IF($I376="","canal, ","")&amp;IF($H376="","município, ","")&amp;IF(AND($U376="Sim",$E376=""),"empresa, ","")&amp;IF(AND($U376="Sim",$F376=""),"editor, ","")&amp;IF(AND($K376="Concluído",$N376=""),"data de conclusão, ","")&amp;IF(AND($K376="Concluído",$R376=""),"link, ","")&amp;IF(AND($K376="Concluído",$L376=""),"quem liberou, ",""))-2)))</f>
        <v/>
      </c>
      <c r="R376" s="38"/>
      <c r="S376" s="38"/>
      <c r="T376" s="38"/>
      <c r="U376" s="40" t="str">
        <f aca="false">IF($A376="","",IFERROR(INDEX(Listas!$E$5:$E$64,MATCH($D376,Listas!$C$5:$C$64,0)),"Não"))</f>
        <v/>
      </c>
    </row>
    <row r="377" customFormat="false" ht="15" hidden="false" customHeight="false" outlineLevel="0" collapsed="false">
      <c r="A377" s="37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9" t="str">
        <f aca="false">IF(OR($A377="",$D377=""),"",$A377+IFERROR(INDEX(Listas!$D$5:$D$64,MATCH($D377,Listas!$C$5:$C$64,0)),3))</f>
        <v/>
      </c>
      <c r="N377" s="37"/>
      <c r="O377" s="40" t="str">
        <f aca="false">IF($A377="","",IF($K377="Concluído","Sim","Não"))</f>
        <v/>
      </c>
      <c r="P377" s="40" t="str">
        <f aca="true">IF($A377="","",IF($K377="Stand-by","Stand-by",IF($K377="Concluído","Concluída",IF(AND($M377&lt;&gt;"",$M377&lt;TODAY()),"Atrasada","Em dia"))))</f>
        <v/>
      </c>
      <c r="Q377" s="40" t="str">
        <f aca="false">IF($A377="","",IF(LEN(IF($J377="","título, ","")&amp;IF($C377="","responsável, ","")&amp;IF($D377="","tipo, ","")&amp;IF($I377="","canal, ","")&amp;IF($H377="","município, ","")&amp;IF(AND($U377="Sim",$E377=""),"empresa, ","")&amp;IF(AND($U377="Sim",$F377=""),"editor, ","")&amp;IF(AND($K377="Concluído",$N377=""),"data de conclusão, ","")&amp;IF(AND($K377="Concluído",$R377=""),"link, ","")&amp;IF(AND($K377="Concluído",$L377=""),"quem liberou, ",""))=0,"OK","Falta "&amp;LEFT(IF($J377="","título, ","")&amp;IF($C377="","responsável, ","")&amp;IF($D377="","tipo, ","")&amp;IF($I377="","canal, ","")&amp;IF($H377="","município, ","")&amp;IF(AND($U377="Sim",$E377=""),"empresa, ","")&amp;IF(AND($U377="Sim",$F377=""),"editor, ","")&amp;IF(AND($K377="Concluído",$N377=""),"data de conclusão, ","")&amp;IF(AND($K377="Concluído",$R377=""),"link, ","")&amp;IF(AND($K377="Concluído",$L377=""),"quem liberou, ",""),LEN(IF($J377="","título, ","")&amp;IF($C377="","responsável, ","")&amp;IF($D377="","tipo, ","")&amp;IF($I377="","canal, ","")&amp;IF($H377="","município, ","")&amp;IF(AND($U377="Sim",$E377=""),"empresa, ","")&amp;IF(AND($U377="Sim",$F377=""),"editor, ","")&amp;IF(AND($K377="Concluído",$N377=""),"data de conclusão, ","")&amp;IF(AND($K377="Concluído",$R377=""),"link, ","")&amp;IF(AND($K377="Concluído",$L377=""),"quem liberou, ",""))-2)))</f>
        <v/>
      </c>
      <c r="R377" s="38"/>
      <c r="S377" s="38"/>
      <c r="T377" s="38"/>
      <c r="U377" s="40" t="str">
        <f aca="false">IF($A377="","",IFERROR(INDEX(Listas!$E$5:$E$64,MATCH($D377,Listas!$C$5:$C$64,0)),"Não"))</f>
        <v/>
      </c>
    </row>
    <row r="378" customFormat="false" ht="15" hidden="false" customHeight="false" outlineLevel="0" collapsed="false">
      <c r="A378" s="37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9" t="str">
        <f aca="false">IF(OR($A378="",$D378=""),"",$A378+IFERROR(INDEX(Listas!$D$5:$D$64,MATCH($D378,Listas!$C$5:$C$64,0)),3))</f>
        <v/>
      </c>
      <c r="N378" s="37"/>
      <c r="O378" s="40" t="str">
        <f aca="false">IF($A378="","",IF($K378="Concluído","Sim","Não"))</f>
        <v/>
      </c>
      <c r="P378" s="40" t="str">
        <f aca="true">IF($A378="","",IF($K378="Stand-by","Stand-by",IF($K378="Concluído","Concluída",IF(AND($M378&lt;&gt;"",$M378&lt;TODAY()),"Atrasada","Em dia"))))</f>
        <v/>
      </c>
      <c r="Q378" s="40" t="str">
        <f aca="false">IF($A378="","",IF(LEN(IF($J378="","título, ","")&amp;IF($C378="","responsável, ","")&amp;IF($D378="","tipo, ","")&amp;IF($I378="","canal, ","")&amp;IF($H378="","município, ","")&amp;IF(AND($U378="Sim",$E378=""),"empresa, ","")&amp;IF(AND($U378="Sim",$F378=""),"editor, ","")&amp;IF(AND($K378="Concluído",$N378=""),"data de conclusão, ","")&amp;IF(AND($K378="Concluído",$R378=""),"link, ","")&amp;IF(AND($K378="Concluído",$L378=""),"quem liberou, ",""))=0,"OK","Falta "&amp;LEFT(IF($J378="","título, ","")&amp;IF($C378="","responsável, ","")&amp;IF($D378="","tipo, ","")&amp;IF($I378="","canal, ","")&amp;IF($H378="","município, ","")&amp;IF(AND($U378="Sim",$E378=""),"empresa, ","")&amp;IF(AND($U378="Sim",$F378=""),"editor, ","")&amp;IF(AND($K378="Concluído",$N378=""),"data de conclusão, ","")&amp;IF(AND($K378="Concluído",$R378=""),"link, ","")&amp;IF(AND($K378="Concluído",$L378=""),"quem liberou, ",""),LEN(IF($J378="","título, ","")&amp;IF($C378="","responsável, ","")&amp;IF($D378="","tipo, ","")&amp;IF($I378="","canal, ","")&amp;IF($H378="","município, ","")&amp;IF(AND($U378="Sim",$E378=""),"empresa, ","")&amp;IF(AND($U378="Sim",$F378=""),"editor, ","")&amp;IF(AND($K378="Concluído",$N378=""),"data de conclusão, ","")&amp;IF(AND($K378="Concluído",$R378=""),"link, ","")&amp;IF(AND($K378="Concluído",$L378=""),"quem liberou, ",""))-2)))</f>
        <v/>
      </c>
      <c r="R378" s="38"/>
      <c r="S378" s="38"/>
      <c r="T378" s="38"/>
      <c r="U378" s="40" t="str">
        <f aca="false">IF($A378="","",IFERROR(INDEX(Listas!$E$5:$E$64,MATCH($D378,Listas!$C$5:$C$64,0)),"Não"))</f>
        <v/>
      </c>
    </row>
    <row r="379" customFormat="false" ht="15" hidden="false" customHeight="false" outlineLevel="0" collapsed="false">
      <c r="A379" s="37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9" t="str">
        <f aca="false">IF(OR($A379="",$D379=""),"",$A379+IFERROR(INDEX(Listas!$D$5:$D$64,MATCH($D379,Listas!$C$5:$C$64,0)),3))</f>
        <v/>
      </c>
      <c r="N379" s="37"/>
      <c r="O379" s="40" t="str">
        <f aca="false">IF($A379="","",IF($K379="Concluído","Sim","Não"))</f>
        <v/>
      </c>
      <c r="P379" s="40" t="str">
        <f aca="true">IF($A379="","",IF($K379="Stand-by","Stand-by",IF($K379="Concluído","Concluída",IF(AND($M379&lt;&gt;"",$M379&lt;TODAY()),"Atrasada","Em dia"))))</f>
        <v/>
      </c>
      <c r="Q379" s="40" t="str">
        <f aca="false">IF($A379="","",IF(LEN(IF($J379="","título, ","")&amp;IF($C379="","responsável, ","")&amp;IF($D379="","tipo, ","")&amp;IF($I379="","canal, ","")&amp;IF($H379="","município, ","")&amp;IF(AND($U379="Sim",$E379=""),"empresa, ","")&amp;IF(AND($U379="Sim",$F379=""),"editor, ","")&amp;IF(AND($K379="Concluído",$N379=""),"data de conclusão, ","")&amp;IF(AND($K379="Concluído",$R379=""),"link, ","")&amp;IF(AND($K379="Concluído",$L379=""),"quem liberou, ",""))=0,"OK","Falta "&amp;LEFT(IF($J379="","título, ","")&amp;IF($C379="","responsável, ","")&amp;IF($D379="","tipo, ","")&amp;IF($I379="","canal, ","")&amp;IF($H379="","município, ","")&amp;IF(AND($U379="Sim",$E379=""),"empresa, ","")&amp;IF(AND($U379="Sim",$F379=""),"editor, ","")&amp;IF(AND($K379="Concluído",$N379=""),"data de conclusão, ","")&amp;IF(AND($K379="Concluído",$R379=""),"link, ","")&amp;IF(AND($K379="Concluído",$L379=""),"quem liberou, ",""),LEN(IF($J379="","título, ","")&amp;IF($C379="","responsável, ","")&amp;IF($D379="","tipo, ","")&amp;IF($I379="","canal, ","")&amp;IF($H379="","município, ","")&amp;IF(AND($U379="Sim",$E379=""),"empresa, ","")&amp;IF(AND($U379="Sim",$F379=""),"editor, ","")&amp;IF(AND($K379="Concluído",$N379=""),"data de conclusão, ","")&amp;IF(AND($K379="Concluído",$R379=""),"link, ","")&amp;IF(AND($K379="Concluído",$L379=""),"quem liberou, ",""))-2)))</f>
        <v/>
      </c>
      <c r="R379" s="38"/>
      <c r="S379" s="38"/>
      <c r="T379" s="38"/>
      <c r="U379" s="40" t="str">
        <f aca="false">IF($A379="","",IFERROR(INDEX(Listas!$E$5:$E$64,MATCH($D379,Listas!$C$5:$C$64,0)),"Não"))</f>
        <v/>
      </c>
    </row>
    <row r="380" customFormat="false" ht="15" hidden="false" customHeight="false" outlineLevel="0" collapsed="false">
      <c r="A380" s="37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9" t="str">
        <f aca="false">IF(OR($A380="",$D380=""),"",$A380+IFERROR(INDEX(Listas!$D$5:$D$64,MATCH($D380,Listas!$C$5:$C$64,0)),3))</f>
        <v/>
      </c>
      <c r="N380" s="37"/>
      <c r="O380" s="40" t="str">
        <f aca="false">IF($A380="","",IF($K380="Concluído","Sim","Não"))</f>
        <v/>
      </c>
      <c r="P380" s="40" t="str">
        <f aca="true">IF($A380="","",IF($K380="Stand-by","Stand-by",IF($K380="Concluído","Concluída",IF(AND($M380&lt;&gt;"",$M380&lt;TODAY()),"Atrasada","Em dia"))))</f>
        <v/>
      </c>
      <c r="Q380" s="40" t="str">
        <f aca="false">IF($A380="","",IF(LEN(IF($J380="","título, ","")&amp;IF($C380="","responsável, ","")&amp;IF($D380="","tipo, ","")&amp;IF($I380="","canal, ","")&amp;IF($H380="","município, ","")&amp;IF(AND($U380="Sim",$E380=""),"empresa, ","")&amp;IF(AND($U380="Sim",$F380=""),"editor, ","")&amp;IF(AND($K380="Concluído",$N380=""),"data de conclusão, ","")&amp;IF(AND($K380="Concluído",$R380=""),"link, ","")&amp;IF(AND($K380="Concluído",$L380=""),"quem liberou, ",""))=0,"OK","Falta "&amp;LEFT(IF($J380="","título, ","")&amp;IF($C380="","responsável, ","")&amp;IF($D380="","tipo, ","")&amp;IF($I380="","canal, ","")&amp;IF($H380="","município, ","")&amp;IF(AND($U380="Sim",$E380=""),"empresa, ","")&amp;IF(AND($U380="Sim",$F380=""),"editor, ","")&amp;IF(AND($K380="Concluído",$N380=""),"data de conclusão, ","")&amp;IF(AND($K380="Concluído",$R380=""),"link, ","")&amp;IF(AND($K380="Concluído",$L380=""),"quem liberou, ",""),LEN(IF($J380="","título, ","")&amp;IF($C380="","responsável, ","")&amp;IF($D380="","tipo, ","")&amp;IF($I380="","canal, ","")&amp;IF($H380="","município, ","")&amp;IF(AND($U380="Sim",$E380=""),"empresa, ","")&amp;IF(AND($U380="Sim",$F380=""),"editor, ","")&amp;IF(AND($K380="Concluído",$N380=""),"data de conclusão, ","")&amp;IF(AND($K380="Concluído",$R380=""),"link, ","")&amp;IF(AND($K380="Concluído",$L380=""),"quem liberou, ",""))-2)))</f>
        <v/>
      </c>
      <c r="R380" s="38"/>
      <c r="S380" s="38"/>
      <c r="T380" s="38"/>
      <c r="U380" s="40" t="str">
        <f aca="false">IF($A380="","",IFERROR(INDEX(Listas!$E$5:$E$64,MATCH($D380,Listas!$C$5:$C$64,0)),"Não"))</f>
        <v/>
      </c>
    </row>
    <row r="381" customFormat="false" ht="15" hidden="false" customHeight="false" outlineLevel="0" collapsed="false">
      <c r="A381" s="37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9" t="str">
        <f aca="false">IF(OR($A381="",$D381=""),"",$A381+IFERROR(INDEX(Listas!$D$5:$D$64,MATCH($D381,Listas!$C$5:$C$64,0)),3))</f>
        <v/>
      </c>
      <c r="N381" s="37"/>
      <c r="O381" s="40" t="str">
        <f aca="false">IF($A381="","",IF($K381="Concluído","Sim","Não"))</f>
        <v/>
      </c>
      <c r="P381" s="40" t="str">
        <f aca="true">IF($A381="","",IF($K381="Stand-by","Stand-by",IF($K381="Concluído","Concluída",IF(AND($M381&lt;&gt;"",$M381&lt;TODAY()),"Atrasada","Em dia"))))</f>
        <v/>
      </c>
      <c r="Q381" s="40" t="str">
        <f aca="false">IF($A381="","",IF(LEN(IF($J381="","título, ","")&amp;IF($C381="","responsável, ","")&amp;IF($D381="","tipo, ","")&amp;IF($I381="","canal, ","")&amp;IF($H381="","município, ","")&amp;IF(AND($U381="Sim",$E381=""),"empresa, ","")&amp;IF(AND($U381="Sim",$F381=""),"editor, ","")&amp;IF(AND($K381="Concluído",$N381=""),"data de conclusão, ","")&amp;IF(AND($K381="Concluído",$R381=""),"link, ","")&amp;IF(AND($K381="Concluído",$L381=""),"quem liberou, ",""))=0,"OK","Falta "&amp;LEFT(IF($J381="","título, ","")&amp;IF($C381="","responsável, ","")&amp;IF($D381="","tipo, ","")&amp;IF($I381="","canal, ","")&amp;IF($H381="","município, ","")&amp;IF(AND($U381="Sim",$E381=""),"empresa, ","")&amp;IF(AND($U381="Sim",$F381=""),"editor, ","")&amp;IF(AND($K381="Concluído",$N381=""),"data de conclusão, ","")&amp;IF(AND($K381="Concluído",$R381=""),"link, ","")&amp;IF(AND($K381="Concluído",$L381=""),"quem liberou, ",""),LEN(IF($J381="","título, ","")&amp;IF($C381="","responsável, ","")&amp;IF($D381="","tipo, ","")&amp;IF($I381="","canal, ","")&amp;IF($H381="","município, ","")&amp;IF(AND($U381="Sim",$E381=""),"empresa, ","")&amp;IF(AND($U381="Sim",$F381=""),"editor, ","")&amp;IF(AND($K381="Concluído",$N381=""),"data de conclusão, ","")&amp;IF(AND($K381="Concluído",$R381=""),"link, ","")&amp;IF(AND($K381="Concluído",$L381=""),"quem liberou, ",""))-2)))</f>
        <v/>
      </c>
      <c r="R381" s="38"/>
      <c r="S381" s="38"/>
      <c r="T381" s="38"/>
      <c r="U381" s="40" t="str">
        <f aca="false">IF($A381="","",IFERROR(INDEX(Listas!$E$5:$E$64,MATCH($D381,Listas!$C$5:$C$64,0)),"Não"))</f>
        <v/>
      </c>
    </row>
    <row r="382" customFormat="false" ht="15" hidden="false" customHeight="false" outlineLevel="0" collapsed="false">
      <c r="A382" s="37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9" t="str">
        <f aca="false">IF(OR($A382="",$D382=""),"",$A382+IFERROR(INDEX(Listas!$D$5:$D$64,MATCH($D382,Listas!$C$5:$C$64,0)),3))</f>
        <v/>
      </c>
      <c r="N382" s="37"/>
      <c r="O382" s="40" t="str">
        <f aca="false">IF($A382="","",IF($K382="Concluído","Sim","Não"))</f>
        <v/>
      </c>
      <c r="P382" s="40" t="str">
        <f aca="true">IF($A382="","",IF($K382="Stand-by","Stand-by",IF($K382="Concluído","Concluída",IF(AND($M382&lt;&gt;"",$M382&lt;TODAY()),"Atrasada","Em dia"))))</f>
        <v/>
      </c>
      <c r="Q382" s="40" t="str">
        <f aca="false">IF($A382="","",IF(LEN(IF($J382="","título, ","")&amp;IF($C382="","responsável, ","")&amp;IF($D382="","tipo, ","")&amp;IF($I382="","canal, ","")&amp;IF($H382="","município, ","")&amp;IF(AND($U382="Sim",$E382=""),"empresa, ","")&amp;IF(AND($U382="Sim",$F382=""),"editor, ","")&amp;IF(AND($K382="Concluído",$N382=""),"data de conclusão, ","")&amp;IF(AND($K382="Concluído",$R382=""),"link, ","")&amp;IF(AND($K382="Concluído",$L382=""),"quem liberou, ",""))=0,"OK","Falta "&amp;LEFT(IF($J382="","título, ","")&amp;IF($C382="","responsável, ","")&amp;IF($D382="","tipo, ","")&amp;IF($I382="","canal, ","")&amp;IF($H382="","município, ","")&amp;IF(AND($U382="Sim",$E382=""),"empresa, ","")&amp;IF(AND($U382="Sim",$F382=""),"editor, ","")&amp;IF(AND($K382="Concluído",$N382=""),"data de conclusão, ","")&amp;IF(AND($K382="Concluído",$R382=""),"link, ","")&amp;IF(AND($K382="Concluído",$L382=""),"quem liberou, ",""),LEN(IF($J382="","título, ","")&amp;IF($C382="","responsável, ","")&amp;IF($D382="","tipo, ","")&amp;IF($I382="","canal, ","")&amp;IF($H382="","município, ","")&amp;IF(AND($U382="Sim",$E382=""),"empresa, ","")&amp;IF(AND($U382="Sim",$F382=""),"editor, ","")&amp;IF(AND($K382="Concluído",$N382=""),"data de conclusão, ","")&amp;IF(AND($K382="Concluído",$R382=""),"link, ","")&amp;IF(AND($K382="Concluído",$L382=""),"quem liberou, ",""))-2)))</f>
        <v/>
      </c>
      <c r="R382" s="38"/>
      <c r="S382" s="38"/>
      <c r="T382" s="38"/>
      <c r="U382" s="40" t="str">
        <f aca="false">IF($A382="","",IFERROR(INDEX(Listas!$E$5:$E$64,MATCH($D382,Listas!$C$5:$C$64,0)),"Não"))</f>
        <v/>
      </c>
    </row>
    <row r="383" customFormat="false" ht="15" hidden="false" customHeight="false" outlineLevel="0" collapsed="false">
      <c r="A383" s="37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9" t="str">
        <f aca="false">IF(OR($A383="",$D383=""),"",$A383+IFERROR(INDEX(Listas!$D$5:$D$64,MATCH($D383,Listas!$C$5:$C$64,0)),3))</f>
        <v/>
      </c>
      <c r="N383" s="37"/>
      <c r="O383" s="40" t="str">
        <f aca="false">IF($A383="","",IF($K383="Concluído","Sim","Não"))</f>
        <v/>
      </c>
      <c r="P383" s="40" t="str">
        <f aca="true">IF($A383="","",IF($K383="Stand-by","Stand-by",IF($K383="Concluído","Concluída",IF(AND($M383&lt;&gt;"",$M383&lt;TODAY()),"Atrasada","Em dia"))))</f>
        <v/>
      </c>
      <c r="Q383" s="40" t="str">
        <f aca="false">IF($A383="","",IF(LEN(IF($J383="","título, ","")&amp;IF($C383="","responsável, ","")&amp;IF($D383="","tipo, ","")&amp;IF($I383="","canal, ","")&amp;IF($H383="","município, ","")&amp;IF(AND($U383="Sim",$E383=""),"empresa, ","")&amp;IF(AND($U383="Sim",$F383=""),"editor, ","")&amp;IF(AND($K383="Concluído",$N383=""),"data de conclusão, ","")&amp;IF(AND($K383="Concluído",$R383=""),"link, ","")&amp;IF(AND($K383="Concluído",$L383=""),"quem liberou, ",""))=0,"OK","Falta "&amp;LEFT(IF($J383="","título, ","")&amp;IF($C383="","responsável, ","")&amp;IF($D383="","tipo, ","")&amp;IF($I383="","canal, ","")&amp;IF($H383="","município, ","")&amp;IF(AND($U383="Sim",$E383=""),"empresa, ","")&amp;IF(AND($U383="Sim",$F383=""),"editor, ","")&amp;IF(AND($K383="Concluído",$N383=""),"data de conclusão, ","")&amp;IF(AND($K383="Concluído",$R383=""),"link, ","")&amp;IF(AND($K383="Concluído",$L383=""),"quem liberou, ",""),LEN(IF($J383="","título, ","")&amp;IF($C383="","responsável, ","")&amp;IF($D383="","tipo, ","")&amp;IF($I383="","canal, ","")&amp;IF($H383="","município, ","")&amp;IF(AND($U383="Sim",$E383=""),"empresa, ","")&amp;IF(AND($U383="Sim",$F383=""),"editor, ","")&amp;IF(AND($K383="Concluído",$N383=""),"data de conclusão, ","")&amp;IF(AND($K383="Concluído",$R383=""),"link, ","")&amp;IF(AND($K383="Concluído",$L383=""),"quem liberou, ",""))-2)))</f>
        <v/>
      </c>
      <c r="R383" s="38"/>
      <c r="S383" s="38"/>
      <c r="T383" s="38"/>
      <c r="U383" s="40" t="str">
        <f aca="false">IF($A383="","",IFERROR(INDEX(Listas!$E$5:$E$64,MATCH($D383,Listas!$C$5:$C$64,0)),"Não"))</f>
        <v/>
      </c>
    </row>
    <row r="384" customFormat="false" ht="15" hidden="false" customHeight="false" outlineLevel="0" collapsed="false">
      <c r="A384" s="37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9" t="str">
        <f aca="false">IF(OR($A384="",$D384=""),"",$A384+IFERROR(INDEX(Listas!$D$5:$D$64,MATCH($D384,Listas!$C$5:$C$64,0)),3))</f>
        <v/>
      </c>
      <c r="N384" s="37"/>
      <c r="O384" s="40" t="str">
        <f aca="false">IF($A384="","",IF($K384="Concluído","Sim","Não"))</f>
        <v/>
      </c>
      <c r="P384" s="40" t="str">
        <f aca="true">IF($A384="","",IF($K384="Stand-by","Stand-by",IF($K384="Concluído","Concluída",IF(AND($M384&lt;&gt;"",$M384&lt;TODAY()),"Atrasada","Em dia"))))</f>
        <v/>
      </c>
      <c r="Q384" s="40" t="str">
        <f aca="false">IF($A384="","",IF(LEN(IF($J384="","título, ","")&amp;IF($C384="","responsável, ","")&amp;IF($D384="","tipo, ","")&amp;IF($I384="","canal, ","")&amp;IF($H384="","município, ","")&amp;IF(AND($U384="Sim",$E384=""),"empresa, ","")&amp;IF(AND($U384="Sim",$F384=""),"editor, ","")&amp;IF(AND($K384="Concluído",$N384=""),"data de conclusão, ","")&amp;IF(AND($K384="Concluído",$R384=""),"link, ","")&amp;IF(AND($K384="Concluído",$L384=""),"quem liberou, ",""))=0,"OK","Falta "&amp;LEFT(IF($J384="","título, ","")&amp;IF($C384="","responsável, ","")&amp;IF($D384="","tipo, ","")&amp;IF($I384="","canal, ","")&amp;IF($H384="","município, ","")&amp;IF(AND($U384="Sim",$E384=""),"empresa, ","")&amp;IF(AND($U384="Sim",$F384=""),"editor, ","")&amp;IF(AND($K384="Concluído",$N384=""),"data de conclusão, ","")&amp;IF(AND($K384="Concluído",$R384=""),"link, ","")&amp;IF(AND($K384="Concluído",$L384=""),"quem liberou, ",""),LEN(IF($J384="","título, ","")&amp;IF($C384="","responsável, ","")&amp;IF($D384="","tipo, ","")&amp;IF($I384="","canal, ","")&amp;IF($H384="","município, ","")&amp;IF(AND($U384="Sim",$E384=""),"empresa, ","")&amp;IF(AND($U384="Sim",$F384=""),"editor, ","")&amp;IF(AND($K384="Concluído",$N384=""),"data de conclusão, ","")&amp;IF(AND($K384="Concluído",$R384=""),"link, ","")&amp;IF(AND($K384="Concluído",$L384=""),"quem liberou, ",""))-2)))</f>
        <v/>
      </c>
      <c r="R384" s="38"/>
      <c r="S384" s="38"/>
      <c r="T384" s="38"/>
      <c r="U384" s="40" t="str">
        <f aca="false">IF($A384="","",IFERROR(INDEX(Listas!$E$5:$E$64,MATCH($D384,Listas!$C$5:$C$64,0)),"Não"))</f>
        <v/>
      </c>
    </row>
    <row r="385" customFormat="false" ht="15" hidden="false" customHeight="false" outlineLevel="0" collapsed="false">
      <c r="A385" s="37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9" t="str">
        <f aca="false">IF(OR($A385="",$D385=""),"",$A385+IFERROR(INDEX(Listas!$D$5:$D$64,MATCH($D385,Listas!$C$5:$C$64,0)),3))</f>
        <v/>
      </c>
      <c r="N385" s="37"/>
      <c r="O385" s="40" t="str">
        <f aca="false">IF($A385="","",IF($K385="Concluído","Sim","Não"))</f>
        <v/>
      </c>
      <c r="P385" s="40" t="str">
        <f aca="true">IF($A385="","",IF($K385="Stand-by","Stand-by",IF($K385="Concluído","Concluída",IF(AND($M385&lt;&gt;"",$M385&lt;TODAY()),"Atrasada","Em dia"))))</f>
        <v/>
      </c>
      <c r="Q385" s="40" t="str">
        <f aca="false">IF($A385="","",IF(LEN(IF($J385="","título, ","")&amp;IF($C385="","responsável, ","")&amp;IF($D385="","tipo, ","")&amp;IF($I385="","canal, ","")&amp;IF($H385="","município, ","")&amp;IF(AND($U385="Sim",$E385=""),"empresa, ","")&amp;IF(AND($U385="Sim",$F385=""),"editor, ","")&amp;IF(AND($K385="Concluído",$N385=""),"data de conclusão, ","")&amp;IF(AND($K385="Concluído",$R385=""),"link, ","")&amp;IF(AND($K385="Concluído",$L385=""),"quem liberou, ",""))=0,"OK","Falta "&amp;LEFT(IF($J385="","título, ","")&amp;IF($C385="","responsável, ","")&amp;IF($D385="","tipo, ","")&amp;IF($I385="","canal, ","")&amp;IF($H385="","município, ","")&amp;IF(AND($U385="Sim",$E385=""),"empresa, ","")&amp;IF(AND($U385="Sim",$F385=""),"editor, ","")&amp;IF(AND($K385="Concluído",$N385=""),"data de conclusão, ","")&amp;IF(AND($K385="Concluído",$R385=""),"link, ","")&amp;IF(AND($K385="Concluído",$L385=""),"quem liberou, ",""),LEN(IF($J385="","título, ","")&amp;IF($C385="","responsável, ","")&amp;IF($D385="","tipo, ","")&amp;IF($I385="","canal, ","")&amp;IF($H385="","município, ","")&amp;IF(AND($U385="Sim",$E385=""),"empresa, ","")&amp;IF(AND($U385="Sim",$F385=""),"editor, ","")&amp;IF(AND($K385="Concluído",$N385=""),"data de conclusão, ","")&amp;IF(AND($K385="Concluído",$R385=""),"link, ","")&amp;IF(AND($K385="Concluído",$L385=""),"quem liberou, ",""))-2)))</f>
        <v/>
      </c>
      <c r="R385" s="38"/>
      <c r="S385" s="38"/>
      <c r="T385" s="38"/>
      <c r="U385" s="40" t="str">
        <f aca="false">IF($A385="","",IFERROR(INDEX(Listas!$E$5:$E$64,MATCH($D385,Listas!$C$5:$C$64,0)),"Não"))</f>
        <v/>
      </c>
    </row>
    <row r="386" customFormat="false" ht="15" hidden="false" customHeight="false" outlineLevel="0" collapsed="false">
      <c r="A386" s="37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9" t="str">
        <f aca="false">IF(OR($A386="",$D386=""),"",$A386+IFERROR(INDEX(Listas!$D$5:$D$64,MATCH($D386,Listas!$C$5:$C$64,0)),3))</f>
        <v/>
      </c>
      <c r="N386" s="37"/>
      <c r="O386" s="40" t="str">
        <f aca="false">IF($A386="","",IF($K386="Concluído","Sim","Não"))</f>
        <v/>
      </c>
      <c r="P386" s="40" t="str">
        <f aca="true">IF($A386="","",IF($K386="Stand-by","Stand-by",IF($K386="Concluído","Concluída",IF(AND($M386&lt;&gt;"",$M386&lt;TODAY()),"Atrasada","Em dia"))))</f>
        <v/>
      </c>
      <c r="Q386" s="40" t="str">
        <f aca="false">IF($A386="","",IF(LEN(IF($J386="","título, ","")&amp;IF($C386="","responsável, ","")&amp;IF($D386="","tipo, ","")&amp;IF($I386="","canal, ","")&amp;IF($H386="","município, ","")&amp;IF(AND($U386="Sim",$E386=""),"empresa, ","")&amp;IF(AND($U386="Sim",$F386=""),"editor, ","")&amp;IF(AND($K386="Concluído",$N386=""),"data de conclusão, ","")&amp;IF(AND($K386="Concluído",$R386=""),"link, ","")&amp;IF(AND($K386="Concluído",$L386=""),"quem liberou, ",""))=0,"OK","Falta "&amp;LEFT(IF($J386="","título, ","")&amp;IF($C386="","responsável, ","")&amp;IF($D386="","tipo, ","")&amp;IF($I386="","canal, ","")&amp;IF($H386="","município, ","")&amp;IF(AND($U386="Sim",$E386=""),"empresa, ","")&amp;IF(AND($U386="Sim",$F386=""),"editor, ","")&amp;IF(AND($K386="Concluído",$N386=""),"data de conclusão, ","")&amp;IF(AND($K386="Concluído",$R386=""),"link, ","")&amp;IF(AND($K386="Concluído",$L386=""),"quem liberou, ",""),LEN(IF($J386="","título, ","")&amp;IF($C386="","responsável, ","")&amp;IF($D386="","tipo, ","")&amp;IF($I386="","canal, ","")&amp;IF($H386="","município, ","")&amp;IF(AND($U386="Sim",$E386=""),"empresa, ","")&amp;IF(AND($U386="Sim",$F386=""),"editor, ","")&amp;IF(AND($K386="Concluído",$N386=""),"data de conclusão, ","")&amp;IF(AND($K386="Concluído",$R386=""),"link, ","")&amp;IF(AND($K386="Concluído",$L386=""),"quem liberou, ",""))-2)))</f>
        <v/>
      </c>
      <c r="R386" s="38"/>
      <c r="S386" s="38"/>
      <c r="T386" s="38"/>
      <c r="U386" s="40" t="str">
        <f aca="false">IF($A386="","",IFERROR(INDEX(Listas!$E$5:$E$64,MATCH($D386,Listas!$C$5:$C$64,0)),"Não"))</f>
        <v/>
      </c>
    </row>
    <row r="387" customFormat="false" ht="15" hidden="false" customHeight="false" outlineLevel="0" collapsed="false">
      <c r="A387" s="37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9" t="str">
        <f aca="false">IF(OR($A387="",$D387=""),"",$A387+IFERROR(INDEX(Listas!$D$5:$D$64,MATCH($D387,Listas!$C$5:$C$64,0)),3))</f>
        <v/>
      </c>
      <c r="N387" s="37"/>
      <c r="O387" s="40" t="str">
        <f aca="false">IF($A387="","",IF($K387="Concluído","Sim","Não"))</f>
        <v/>
      </c>
      <c r="P387" s="40" t="str">
        <f aca="true">IF($A387="","",IF($K387="Stand-by","Stand-by",IF($K387="Concluído","Concluída",IF(AND($M387&lt;&gt;"",$M387&lt;TODAY()),"Atrasada","Em dia"))))</f>
        <v/>
      </c>
      <c r="Q387" s="40" t="str">
        <f aca="false">IF($A387="","",IF(LEN(IF($J387="","título, ","")&amp;IF($C387="","responsável, ","")&amp;IF($D387="","tipo, ","")&amp;IF($I387="","canal, ","")&amp;IF($H387="","município, ","")&amp;IF(AND($U387="Sim",$E387=""),"empresa, ","")&amp;IF(AND($U387="Sim",$F387=""),"editor, ","")&amp;IF(AND($K387="Concluído",$N387=""),"data de conclusão, ","")&amp;IF(AND($K387="Concluído",$R387=""),"link, ","")&amp;IF(AND($K387="Concluído",$L387=""),"quem liberou, ",""))=0,"OK","Falta "&amp;LEFT(IF($J387="","título, ","")&amp;IF($C387="","responsável, ","")&amp;IF($D387="","tipo, ","")&amp;IF($I387="","canal, ","")&amp;IF($H387="","município, ","")&amp;IF(AND($U387="Sim",$E387=""),"empresa, ","")&amp;IF(AND($U387="Sim",$F387=""),"editor, ","")&amp;IF(AND($K387="Concluído",$N387=""),"data de conclusão, ","")&amp;IF(AND($K387="Concluído",$R387=""),"link, ","")&amp;IF(AND($K387="Concluído",$L387=""),"quem liberou, ",""),LEN(IF($J387="","título, ","")&amp;IF($C387="","responsável, ","")&amp;IF($D387="","tipo, ","")&amp;IF($I387="","canal, ","")&amp;IF($H387="","município, ","")&amp;IF(AND($U387="Sim",$E387=""),"empresa, ","")&amp;IF(AND($U387="Sim",$F387=""),"editor, ","")&amp;IF(AND($K387="Concluído",$N387=""),"data de conclusão, ","")&amp;IF(AND($K387="Concluído",$R387=""),"link, ","")&amp;IF(AND($K387="Concluído",$L387=""),"quem liberou, ",""))-2)))</f>
        <v/>
      </c>
      <c r="R387" s="38"/>
      <c r="S387" s="38"/>
      <c r="T387" s="38"/>
      <c r="U387" s="40" t="str">
        <f aca="false">IF($A387="","",IFERROR(INDEX(Listas!$E$5:$E$64,MATCH($D387,Listas!$C$5:$C$64,0)),"Não"))</f>
        <v/>
      </c>
    </row>
    <row r="388" customFormat="false" ht="15" hidden="false" customHeight="false" outlineLevel="0" collapsed="false">
      <c r="A388" s="37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9" t="str">
        <f aca="false">IF(OR($A388="",$D388=""),"",$A388+IFERROR(INDEX(Listas!$D$5:$D$64,MATCH($D388,Listas!$C$5:$C$64,0)),3))</f>
        <v/>
      </c>
      <c r="N388" s="37"/>
      <c r="O388" s="40" t="str">
        <f aca="false">IF($A388="","",IF($K388="Concluído","Sim","Não"))</f>
        <v/>
      </c>
      <c r="P388" s="40" t="str">
        <f aca="true">IF($A388="","",IF($K388="Stand-by","Stand-by",IF($K388="Concluído","Concluída",IF(AND($M388&lt;&gt;"",$M388&lt;TODAY()),"Atrasada","Em dia"))))</f>
        <v/>
      </c>
      <c r="Q388" s="40" t="str">
        <f aca="false">IF($A388="","",IF(LEN(IF($J388="","título, ","")&amp;IF($C388="","responsável, ","")&amp;IF($D388="","tipo, ","")&amp;IF($I388="","canal, ","")&amp;IF($H388="","município, ","")&amp;IF(AND($U388="Sim",$E388=""),"empresa, ","")&amp;IF(AND($U388="Sim",$F388=""),"editor, ","")&amp;IF(AND($K388="Concluído",$N388=""),"data de conclusão, ","")&amp;IF(AND($K388="Concluído",$R388=""),"link, ","")&amp;IF(AND($K388="Concluído",$L388=""),"quem liberou, ",""))=0,"OK","Falta "&amp;LEFT(IF($J388="","título, ","")&amp;IF($C388="","responsável, ","")&amp;IF($D388="","tipo, ","")&amp;IF($I388="","canal, ","")&amp;IF($H388="","município, ","")&amp;IF(AND($U388="Sim",$E388=""),"empresa, ","")&amp;IF(AND($U388="Sim",$F388=""),"editor, ","")&amp;IF(AND($K388="Concluído",$N388=""),"data de conclusão, ","")&amp;IF(AND($K388="Concluído",$R388=""),"link, ","")&amp;IF(AND($K388="Concluído",$L388=""),"quem liberou, ",""),LEN(IF($J388="","título, ","")&amp;IF($C388="","responsável, ","")&amp;IF($D388="","tipo, ","")&amp;IF($I388="","canal, ","")&amp;IF($H388="","município, ","")&amp;IF(AND($U388="Sim",$E388=""),"empresa, ","")&amp;IF(AND($U388="Sim",$F388=""),"editor, ","")&amp;IF(AND($K388="Concluído",$N388=""),"data de conclusão, ","")&amp;IF(AND($K388="Concluído",$R388=""),"link, ","")&amp;IF(AND($K388="Concluído",$L388=""),"quem liberou, ",""))-2)))</f>
        <v/>
      </c>
      <c r="R388" s="38"/>
      <c r="S388" s="38"/>
      <c r="T388" s="38"/>
      <c r="U388" s="40" t="str">
        <f aca="false">IF($A388="","",IFERROR(INDEX(Listas!$E$5:$E$64,MATCH($D388,Listas!$C$5:$C$64,0)),"Não"))</f>
        <v/>
      </c>
    </row>
    <row r="389" customFormat="false" ht="15" hidden="false" customHeight="false" outlineLevel="0" collapsed="false">
      <c r="A389" s="37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9" t="str">
        <f aca="false">IF(OR($A389="",$D389=""),"",$A389+IFERROR(INDEX(Listas!$D$5:$D$64,MATCH($D389,Listas!$C$5:$C$64,0)),3))</f>
        <v/>
      </c>
      <c r="N389" s="37"/>
      <c r="O389" s="40" t="str">
        <f aca="false">IF($A389="","",IF($K389="Concluído","Sim","Não"))</f>
        <v/>
      </c>
      <c r="P389" s="40" t="str">
        <f aca="true">IF($A389="","",IF($K389="Stand-by","Stand-by",IF($K389="Concluído","Concluída",IF(AND($M389&lt;&gt;"",$M389&lt;TODAY()),"Atrasada","Em dia"))))</f>
        <v/>
      </c>
      <c r="Q389" s="40" t="str">
        <f aca="false">IF($A389="","",IF(LEN(IF($J389="","título, ","")&amp;IF($C389="","responsável, ","")&amp;IF($D389="","tipo, ","")&amp;IF($I389="","canal, ","")&amp;IF($H389="","município, ","")&amp;IF(AND($U389="Sim",$E389=""),"empresa, ","")&amp;IF(AND($U389="Sim",$F389=""),"editor, ","")&amp;IF(AND($K389="Concluído",$N389=""),"data de conclusão, ","")&amp;IF(AND($K389="Concluído",$R389=""),"link, ","")&amp;IF(AND($K389="Concluído",$L389=""),"quem liberou, ",""))=0,"OK","Falta "&amp;LEFT(IF($J389="","título, ","")&amp;IF($C389="","responsável, ","")&amp;IF($D389="","tipo, ","")&amp;IF($I389="","canal, ","")&amp;IF($H389="","município, ","")&amp;IF(AND($U389="Sim",$E389=""),"empresa, ","")&amp;IF(AND($U389="Sim",$F389=""),"editor, ","")&amp;IF(AND($K389="Concluído",$N389=""),"data de conclusão, ","")&amp;IF(AND($K389="Concluído",$R389=""),"link, ","")&amp;IF(AND($K389="Concluído",$L389=""),"quem liberou, ",""),LEN(IF($J389="","título, ","")&amp;IF($C389="","responsável, ","")&amp;IF($D389="","tipo, ","")&amp;IF($I389="","canal, ","")&amp;IF($H389="","município, ","")&amp;IF(AND($U389="Sim",$E389=""),"empresa, ","")&amp;IF(AND($U389="Sim",$F389=""),"editor, ","")&amp;IF(AND($K389="Concluído",$N389=""),"data de conclusão, ","")&amp;IF(AND($K389="Concluído",$R389=""),"link, ","")&amp;IF(AND($K389="Concluído",$L389=""),"quem liberou, ",""))-2)))</f>
        <v/>
      </c>
      <c r="R389" s="38"/>
      <c r="S389" s="38"/>
      <c r="T389" s="38"/>
      <c r="U389" s="40" t="str">
        <f aca="false">IF($A389="","",IFERROR(INDEX(Listas!$E$5:$E$64,MATCH($D389,Listas!$C$5:$C$64,0)),"Não"))</f>
        <v/>
      </c>
    </row>
    <row r="390" customFormat="false" ht="15" hidden="false" customHeight="false" outlineLevel="0" collapsed="false">
      <c r="A390" s="37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9" t="str">
        <f aca="false">IF(OR($A390="",$D390=""),"",$A390+IFERROR(INDEX(Listas!$D$5:$D$64,MATCH($D390,Listas!$C$5:$C$64,0)),3))</f>
        <v/>
      </c>
      <c r="N390" s="37"/>
      <c r="O390" s="40" t="str">
        <f aca="false">IF($A390="","",IF($K390="Concluído","Sim","Não"))</f>
        <v/>
      </c>
      <c r="P390" s="40" t="str">
        <f aca="true">IF($A390="","",IF($K390="Stand-by","Stand-by",IF($K390="Concluído","Concluída",IF(AND($M390&lt;&gt;"",$M390&lt;TODAY()),"Atrasada","Em dia"))))</f>
        <v/>
      </c>
      <c r="Q390" s="40" t="str">
        <f aca="false">IF($A390="","",IF(LEN(IF($J390="","título, ","")&amp;IF($C390="","responsável, ","")&amp;IF($D390="","tipo, ","")&amp;IF($I390="","canal, ","")&amp;IF($H390="","município, ","")&amp;IF(AND($U390="Sim",$E390=""),"empresa, ","")&amp;IF(AND($U390="Sim",$F390=""),"editor, ","")&amp;IF(AND($K390="Concluído",$N390=""),"data de conclusão, ","")&amp;IF(AND($K390="Concluído",$R390=""),"link, ","")&amp;IF(AND($K390="Concluído",$L390=""),"quem liberou, ",""))=0,"OK","Falta "&amp;LEFT(IF($J390="","título, ","")&amp;IF($C390="","responsável, ","")&amp;IF($D390="","tipo, ","")&amp;IF($I390="","canal, ","")&amp;IF($H390="","município, ","")&amp;IF(AND($U390="Sim",$E390=""),"empresa, ","")&amp;IF(AND($U390="Sim",$F390=""),"editor, ","")&amp;IF(AND($K390="Concluído",$N390=""),"data de conclusão, ","")&amp;IF(AND($K390="Concluído",$R390=""),"link, ","")&amp;IF(AND($K390="Concluído",$L390=""),"quem liberou, ",""),LEN(IF($J390="","título, ","")&amp;IF($C390="","responsável, ","")&amp;IF($D390="","tipo, ","")&amp;IF($I390="","canal, ","")&amp;IF($H390="","município, ","")&amp;IF(AND($U390="Sim",$E390=""),"empresa, ","")&amp;IF(AND($U390="Sim",$F390=""),"editor, ","")&amp;IF(AND($K390="Concluído",$N390=""),"data de conclusão, ","")&amp;IF(AND($K390="Concluído",$R390=""),"link, ","")&amp;IF(AND($K390="Concluído",$L390=""),"quem liberou, ",""))-2)))</f>
        <v/>
      </c>
      <c r="R390" s="38"/>
      <c r="S390" s="38"/>
      <c r="T390" s="38"/>
      <c r="U390" s="40" t="str">
        <f aca="false">IF($A390="","",IFERROR(INDEX(Listas!$E$5:$E$64,MATCH($D390,Listas!$C$5:$C$64,0)),"Não"))</f>
        <v/>
      </c>
    </row>
    <row r="391" customFormat="false" ht="15" hidden="false" customHeight="false" outlineLevel="0" collapsed="false">
      <c r="A391" s="37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9" t="str">
        <f aca="false">IF(OR($A391="",$D391=""),"",$A391+IFERROR(INDEX(Listas!$D$5:$D$64,MATCH($D391,Listas!$C$5:$C$64,0)),3))</f>
        <v/>
      </c>
      <c r="N391" s="37"/>
      <c r="O391" s="40" t="str">
        <f aca="false">IF($A391="","",IF($K391="Concluído","Sim","Não"))</f>
        <v/>
      </c>
      <c r="P391" s="40" t="str">
        <f aca="true">IF($A391="","",IF($K391="Stand-by","Stand-by",IF($K391="Concluído","Concluída",IF(AND($M391&lt;&gt;"",$M391&lt;TODAY()),"Atrasada","Em dia"))))</f>
        <v/>
      </c>
      <c r="Q391" s="40" t="str">
        <f aca="false">IF($A391="","",IF(LEN(IF($J391="","título, ","")&amp;IF($C391="","responsável, ","")&amp;IF($D391="","tipo, ","")&amp;IF($I391="","canal, ","")&amp;IF($H391="","município, ","")&amp;IF(AND($U391="Sim",$E391=""),"empresa, ","")&amp;IF(AND($U391="Sim",$F391=""),"editor, ","")&amp;IF(AND($K391="Concluído",$N391=""),"data de conclusão, ","")&amp;IF(AND($K391="Concluído",$R391=""),"link, ","")&amp;IF(AND($K391="Concluído",$L391=""),"quem liberou, ",""))=0,"OK","Falta "&amp;LEFT(IF($J391="","título, ","")&amp;IF($C391="","responsável, ","")&amp;IF($D391="","tipo, ","")&amp;IF($I391="","canal, ","")&amp;IF($H391="","município, ","")&amp;IF(AND($U391="Sim",$E391=""),"empresa, ","")&amp;IF(AND($U391="Sim",$F391=""),"editor, ","")&amp;IF(AND($K391="Concluído",$N391=""),"data de conclusão, ","")&amp;IF(AND($K391="Concluído",$R391=""),"link, ","")&amp;IF(AND($K391="Concluído",$L391=""),"quem liberou, ",""),LEN(IF($J391="","título, ","")&amp;IF($C391="","responsável, ","")&amp;IF($D391="","tipo, ","")&amp;IF($I391="","canal, ","")&amp;IF($H391="","município, ","")&amp;IF(AND($U391="Sim",$E391=""),"empresa, ","")&amp;IF(AND($U391="Sim",$F391=""),"editor, ","")&amp;IF(AND($K391="Concluído",$N391=""),"data de conclusão, ","")&amp;IF(AND($K391="Concluído",$R391=""),"link, ","")&amp;IF(AND($K391="Concluído",$L391=""),"quem liberou, ",""))-2)))</f>
        <v/>
      </c>
      <c r="R391" s="38"/>
      <c r="S391" s="38"/>
      <c r="T391" s="38"/>
      <c r="U391" s="40" t="str">
        <f aca="false">IF($A391="","",IFERROR(INDEX(Listas!$E$5:$E$64,MATCH($D391,Listas!$C$5:$C$64,0)),"Não"))</f>
        <v/>
      </c>
    </row>
    <row r="392" customFormat="false" ht="15" hidden="false" customHeight="false" outlineLevel="0" collapsed="false">
      <c r="A392" s="37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9" t="str">
        <f aca="false">IF(OR($A392="",$D392=""),"",$A392+IFERROR(INDEX(Listas!$D$5:$D$64,MATCH($D392,Listas!$C$5:$C$64,0)),3))</f>
        <v/>
      </c>
      <c r="N392" s="37"/>
      <c r="O392" s="40" t="str">
        <f aca="false">IF($A392="","",IF($K392="Concluído","Sim","Não"))</f>
        <v/>
      </c>
      <c r="P392" s="40" t="str">
        <f aca="true">IF($A392="","",IF($K392="Stand-by","Stand-by",IF($K392="Concluído","Concluída",IF(AND($M392&lt;&gt;"",$M392&lt;TODAY()),"Atrasada","Em dia"))))</f>
        <v/>
      </c>
      <c r="Q392" s="40" t="str">
        <f aca="false">IF($A392="","",IF(LEN(IF($J392="","título, ","")&amp;IF($C392="","responsável, ","")&amp;IF($D392="","tipo, ","")&amp;IF($I392="","canal, ","")&amp;IF($H392="","município, ","")&amp;IF(AND($U392="Sim",$E392=""),"empresa, ","")&amp;IF(AND($U392="Sim",$F392=""),"editor, ","")&amp;IF(AND($K392="Concluído",$N392=""),"data de conclusão, ","")&amp;IF(AND($K392="Concluído",$R392=""),"link, ","")&amp;IF(AND($K392="Concluído",$L392=""),"quem liberou, ",""))=0,"OK","Falta "&amp;LEFT(IF($J392="","título, ","")&amp;IF($C392="","responsável, ","")&amp;IF($D392="","tipo, ","")&amp;IF($I392="","canal, ","")&amp;IF($H392="","município, ","")&amp;IF(AND($U392="Sim",$E392=""),"empresa, ","")&amp;IF(AND($U392="Sim",$F392=""),"editor, ","")&amp;IF(AND($K392="Concluído",$N392=""),"data de conclusão, ","")&amp;IF(AND($K392="Concluído",$R392=""),"link, ","")&amp;IF(AND($K392="Concluído",$L392=""),"quem liberou, ",""),LEN(IF($J392="","título, ","")&amp;IF($C392="","responsável, ","")&amp;IF($D392="","tipo, ","")&amp;IF($I392="","canal, ","")&amp;IF($H392="","município, ","")&amp;IF(AND($U392="Sim",$E392=""),"empresa, ","")&amp;IF(AND($U392="Sim",$F392=""),"editor, ","")&amp;IF(AND($K392="Concluído",$N392=""),"data de conclusão, ","")&amp;IF(AND($K392="Concluído",$R392=""),"link, ","")&amp;IF(AND($K392="Concluído",$L392=""),"quem liberou, ",""))-2)))</f>
        <v/>
      </c>
      <c r="R392" s="38"/>
      <c r="S392" s="38"/>
      <c r="T392" s="38"/>
      <c r="U392" s="40" t="str">
        <f aca="false">IF($A392="","",IFERROR(INDEX(Listas!$E$5:$E$64,MATCH($D392,Listas!$C$5:$C$64,0)),"Não"))</f>
        <v/>
      </c>
    </row>
    <row r="393" customFormat="false" ht="15" hidden="false" customHeight="false" outlineLevel="0" collapsed="false">
      <c r="A393" s="37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9" t="str">
        <f aca="false">IF(OR($A393="",$D393=""),"",$A393+IFERROR(INDEX(Listas!$D$5:$D$64,MATCH($D393,Listas!$C$5:$C$64,0)),3))</f>
        <v/>
      </c>
      <c r="N393" s="37"/>
      <c r="O393" s="40" t="str">
        <f aca="false">IF($A393="","",IF($K393="Concluído","Sim","Não"))</f>
        <v/>
      </c>
      <c r="P393" s="40" t="str">
        <f aca="true">IF($A393="","",IF($K393="Stand-by","Stand-by",IF($K393="Concluído","Concluída",IF(AND($M393&lt;&gt;"",$M393&lt;TODAY()),"Atrasada","Em dia"))))</f>
        <v/>
      </c>
      <c r="Q393" s="40" t="str">
        <f aca="false">IF($A393="","",IF(LEN(IF($J393="","título, ","")&amp;IF($C393="","responsável, ","")&amp;IF($D393="","tipo, ","")&amp;IF($I393="","canal, ","")&amp;IF($H393="","município, ","")&amp;IF(AND($U393="Sim",$E393=""),"empresa, ","")&amp;IF(AND($U393="Sim",$F393=""),"editor, ","")&amp;IF(AND($K393="Concluído",$N393=""),"data de conclusão, ","")&amp;IF(AND($K393="Concluído",$R393=""),"link, ","")&amp;IF(AND($K393="Concluído",$L393=""),"quem liberou, ",""))=0,"OK","Falta "&amp;LEFT(IF($J393="","título, ","")&amp;IF($C393="","responsável, ","")&amp;IF($D393="","tipo, ","")&amp;IF($I393="","canal, ","")&amp;IF($H393="","município, ","")&amp;IF(AND($U393="Sim",$E393=""),"empresa, ","")&amp;IF(AND($U393="Sim",$F393=""),"editor, ","")&amp;IF(AND($K393="Concluído",$N393=""),"data de conclusão, ","")&amp;IF(AND($K393="Concluído",$R393=""),"link, ","")&amp;IF(AND($K393="Concluído",$L393=""),"quem liberou, ",""),LEN(IF($J393="","título, ","")&amp;IF($C393="","responsável, ","")&amp;IF($D393="","tipo, ","")&amp;IF($I393="","canal, ","")&amp;IF($H393="","município, ","")&amp;IF(AND($U393="Sim",$E393=""),"empresa, ","")&amp;IF(AND($U393="Sim",$F393=""),"editor, ","")&amp;IF(AND($K393="Concluído",$N393=""),"data de conclusão, ","")&amp;IF(AND($K393="Concluído",$R393=""),"link, ","")&amp;IF(AND($K393="Concluído",$L393=""),"quem liberou, ",""))-2)))</f>
        <v/>
      </c>
      <c r="R393" s="38"/>
      <c r="S393" s="38"/>
      <c r="T393" s="38"/>
      <c r="U393" s="40" t="str">
        <f aca="false">IF($A393="","",IFERROR(INDEX(Listas!$E$5:$E$64,MATCH($D393,Listas!$C$5:$C$64,0)),"Não"))</f>
        <v/>
      </c>
    </row>
    <row r="394" customFormat="false" ht="15" hidden="false" customHeight="false" outlineLevel="0" collapsed="false">
      <c r="A394" s="37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9" t="str">
        <f aca="false">IF(OR($A394="",$D394=""),"",$A394+IFERROR(INDEX(Listas!$D$5:$D$64,MATCH($D394,Listas!$C$5:$C$64,0)),3))</f>
        <v/>
      </c>
      <c r="N394" s="37"/>
      <c r="O394" s="40" t="str">
        <f aca="false">IF($A394="","",IF($K394="Concluído","Sim","Não"))</f>
        <v/>
      </c>
      <c r="P394" s="40" t="str">
        <f aca="true">IF($A394="","",IF($K394="Stand-by","Stand-by",IF($K394="Concluído","Concluída",IF(AND($M394&lt;&gt;"",$M394&lt;TODAY()),"Atrasada","Em dia"))))</f>
        <v/>
      </c>
      <c r="Q394" s="40" t="str">
        <f aca="false">IF($A394="","",IF(LEN(IF($J394="","título, ","")&amp;IF($C394="","responsável, ","")&amp;IF($D394="","tipo, ","")&amp;IF($I394="","canal, ","")&amp;IF($H394="","município, ","")&amp;IF(AND($U394="Sim",$E394=""),"empresa, ","")&amp;IF(AND($U394="Sim",$F394=""),"editor, ","")&amp;IF(AND($K394="Concluído",$N394=""),"data de conclusão, ","")&amp;IF(AND($K394="Concluído",$R394=""),"link, ","")&amp;IF(AND($K394="Concluído",$L394=""),"quem liberou, ",""))=0,"OK","Falta "&amp;LEFT(IF($J394="","título, ","")&amp;IF($C394="","responsável, ","")&amp;IF($D394="","tipo, ","")&amp;IF($I394="","canal, ","")&amp;IF($H394="","município, ","")&amp;IF(AND($U394="Sim",$E394=""),"empresa, ","")&amp;IF(AND($U394="Sim",$F394=""),"editor, ","")&amp;IF(AND($K394="Concluído",$N394=""),"data de conclusão, ","")&amp;IF(AND($K394="Concluído",$R394=""),"link, ","")&amp;IF(AND($K394="Concluído",$L394=""),"quem liberou, ",""),LEN(IF($J394="","título, ","")&amp;IF($C394="","responsável, ","")&amp;IF($D394="","tipo, ","")&amp;IF($I394="","canal, ","")&amp;IF($H394="","município, ","")&amp;IF(AND($U394="Sim",$E394=""),"empresa, ","")&amp;IF(AND($U394="Sim",$F394=""),"editor, ","")&amp;IF(AND($K394="Concluído",$N394=""),"data de conclusão, ","")&amp;IF(AND($K394="Concluído",$R394=""),"link, ","")&amp;IF(AND($K394="Concluído",$L394=""),"quem liberou, ",""))-2)))</f>
        <v/>
      </c>
      <c r="R394" s="38"/>
      <c r="S394" s="38"/>
      <c r="T394" s="38"/>
      <c r="U394" s="40" t="str">
        <f aca="false">IF($A394="","",IFERROR(INDEX(Listas!$E$5:$E$64,MATCH($D394,Listas!$C$5:$C$64,0)),"Não"))</f>
        <v/>
      </c>
    </row>
    <row r="395" customFormat="false" ht="15" hidden="false" customHeight="false" outlineLevel="0" collapsed="false">
      <c r="A395" s="37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9" t="str">
        <f aca="false">IF(OR($A395="",$D395=""),"",$A395+IFERROR(INDEX(Listas!$D$5:$D$64,MATCH($D395,Listas!$C$5:$C$64,0)),3))</f>
        <v/>
      </c>
      <c r="N395" s="37"/>
      <c r="O395" s="40" t="str">
        <f aca="false">IF($A395="","",IF($K395="Concluído","Sim","Não"))</f>
        <v/>
      </c>
      <c r="P395" s="40" t="str">
        <f aca="true">IF($A395="","",IF($K395="Stand-by","Stand-by",IF($K395="Concluído","Concluída",IF(AND($M395&lt;&gt;"",$M395&lt;TODAY()),"Atrasada","Em dia"))))</f>
        <v/>
      </c>
      <c r="Q395" s="40" t="str">
        <f aca="false">IF($A395="","",IF(LEN(IF($J395="","título, ","")&amp;IF($C395="","responsável, ","")&amp;IF($D395="","tipo, ","")&amp;IF($I395="","canal, ","")&amp;IF($H395="","município, ","")&amp;IF(AND($U395="Sim",$E395=""),"empresa, ","")&amp;IF(AND($U395="Sim",$F395=""),"editor, ","")&amp;IF(AND($K395="Concluído",$N395=""),"data de conclusão, ","")&amp;IF(AND($K395="Concluído",$R395=""),"link, ","")&amp;IF(AND($K395="Concluído",$L395=""),"quem liberou, ",""))=0,"OK","Falta "&amp;LEFT(IF($J395="","título, ","")&amp;IF($C395="","responsável, ","")&amp;IF($D395="","tipo, ","")&amp;IF($I395="","canal, ","")&amp;IF($H395="","município, ","")&amp;IF(AND($U395="Sim",$E395=""),"empresa, ","")&amp;IF(AND($U395="Sim",$F395=""),"editor, ","")&amp;IF(AND($K395="Concluído",$N395=""),"data de conclusão, ","")&amp;IF(AND($K395="Concluído",$R395=""),"link, ","")&amp;IF(AND($K395="Concluído",$L395=""),"quem liberou, ",""),LEN(IF($J395="","título, ","")&amp;IF($C395="","responsável, ","")&amp;IF($D395="","tipo, ","")&amp;IF($I395="","canal, ","")&amp;IF($H395="","município, ","")&amp;IF(AND($U395="Sim",$E395=""),"empresa, ","")&amp;IF(AND($U395="Sim",$F395=""),"editor, ","")&amp;IF(AND($K395="Concluído",$N395=""),"data de conclusão, ","")&amp;IF(AND($K395="Concluído",$R395=""),"link, ","")&amp;IF(AND($K395="Concluído",$L395=""),"quem liberou, ",""))-2)))</f>
        <v/>
      </c>
      <c r="R395" s="38"/>
      <c r="S395" s="38"/>
      <c r="T395" s="38"/>
      <c r="U395" s="40" t="str">
        <f aca="false">IF($A395="","",IFERROR(INDEX(Listas!$E$5:$E$64,MATCH($D395,Listas!$C$5:$C$64,0)),"Não"))</f>
        <v/>
      </c>
    </row>
    <row r="396" customFormat="false" ht="15" hidden="false" customHeight="false" outlineLevel="0" collapsed="false">
      <c r="A396" s="37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9" t="str">
        <f aca="false">IF(OR($A396="",$D396=""),"",$A396+IFERROR(INDEX(Listas!$D$5:$D$64,MATCH($D396,Listas!$C$5:$C$64,0)),3))</f>
        <v/>
      </c>
      <c r="N396" s="37"/>
      <c r="O396" s="40" t="str">
        <f aca="false">IF($A396="","",IF($K396="Concluído","Sim","Não"))</f>
        <v/>
      </c>
      <c r="P396" s="40" t="str">
        <f aca="true">IF($A396="","",IF($K396="Stand-by","Stand-by",IF($K396="Concluído","Concluída",IF(AND($M396&lt;&gt;"",$M396&lt;TODAY()),"Atrasada","Em dia"))))</f>
        <v/>
      </c>
      <c r="Q396" s="40" t="str">
        <f aca="false">IF($A396="","",IF(LEN(IF($J396="","título, ","")&amp;IF($C396="","responsável, ","")&amp;IF($D396="","tipo, ","")&amp;IF($I396="","canal, ","")&amp;IF($H396="","município, ","")&amp;IF(AND($U396="Sim",$E396=""),"empresa, ","")&amp;IF(AND($U396="Sim",$F396=""),"editor, ","")&amp;IF(AND($K396="Concluído",$N396=""),"data de conclusão, ","")&amp;IF(AND($K396="Concluído",$R396=""),"link, ","")&amp;IF(AND($K396="Concluído",$L396=""),"quem liberou, ",""))=0,"OK","Falta "&amp;LEFT(IF($J396="","título, ","")&amp;IF($C396="","responsável, ","")&amp;IF($D396="","tipo, ","")&amp;IF($I396="","canal, ","")&amp;IF($H396="","município, ","")&amp;IF(AND($U396="Sim",$E396=""),"empresa, ","")&amp;IF(AND($U396="Sim",$F396=""),"editor, ","")&amp;IF(AND($K396="Concluído",$N396=""),"data de conclusão, ","")&amp;IF(AND($K396="Concluído",$R396=""),"link, ","")&amp;IF(AND($K396="Concluído",$L396=""),"quem liberou, ",""),LEN(IF($J396="","título, ","")&amp;IF($C396="","responsável, ","")&amp;IF($D396="","tipo, ","")&amp;IF($I396="","canal, ","")&amp;IF($H396="","município, ","")&amp;IF(AND($U396="Sim",$E396=""),"empresa, ","")&amp;IF(AND($U396="Sim",$F396=""),"editor, ","")&amp;IF(AND($K396="Concluído",$N396=""),"data de conclusão, ","")&amp;IF(AND($K396="Concluído",$R396=""),"link, ","")&amp;IF(AND($K396="Concluído",$L396=""),"quem liberou, ",""))-2)))</f>
        <v/>
      </c>
      <c r="R396" s="38"/>
      <c r="S396" s="38"/>
      <c r="T396" s="38"/>
      <c r="U396" s="40" t="str">
        <f aca="false">IF($A396="","",IFERROR(INDEX(Listas!$E$5:$E$64,MATCH($D396,Listas!$C$5:$C$64,0)),"Não"))</f>
        <v/>
      </c>
    </row>
    <row r="397" customFormat="false" ht="15" hidden="false" customHeight="false" outlineLevel="0" collapsed="false">
      <c r="A397" s="37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9" t="str">
        <f aca="false">IF(OR($A397="",$D397=""),"",$A397+IFERROR(INDEX(Listas!$D$5:$D$64,MATCH($D397,Listas!$C$5:$C$64,0)),3))</f>
        <v/>
      </c>
      <c r="N397" s="37"/>
      <c r="O397" s="40" t="str">
        <f aca="false">IF($A397="","",IF($K397="Concluído","Sim","Não"))</f>
        <v/>
      </c>
      <c r="P397" s="40" t="str">
        <f aca="true">IF($A397="","",IF($K397="Stand-by","Stand-by",IF($K397="Concluído","Concluída",IF(AND($M397&lt;&gt;"",$M397&lt;TODAY()),"Atrasada","Em dia"))))</f>
        <v/>
      </c>
      <c r="Q397" s="40" t="str">
        <f aca="false">IF($A397="","",IF(LEN(IF($J397="","título, ","")&amp;IF($C397="","responsável, ","")&amp;IF($D397="","tipo, ","")&amp;IF($I397="","canal, ","")&amp;IF($H397="","município, ","")&amp;IF(AND($U397="Sim",$E397=""),"empresa, ","")&amp;IF(AND($U397="Sim",$F397=""),"editor, ","")&amp;IF(AND($K397="Concluído",$N397=""),"data de conclusão, ","")&amp;IF(AND($K397="Concluído",$R397=""),"link, ","")&amp;IF(AND($K397="Concluído",$L397=""),"quem liberou, ",""))=0,"OK","Falta "&amp;LEFT(IF($J397="","título, ","")&amp;IF($C397="","responsável, ","")&amp;IF($D397="","tipo, ","")&amp;IF($I397="","canal, ","")&amp;IF($H397="","município, ","")&amp;IF(AND($U397="Sim",$E397=""),"empresa, ","")&amp;IF(AND($U397="Sim",$F397=""),"editor, ","")&amp;IF(AND($K397="Concluído",$N397=""),"data de conclusão, ","")&amp;IF(AND($K397="Concluído",$R397=""),"link, ","")&amp;IF(AND($K397="Concluído",$L397=""),"quem liberou, ",""),LEN(IF($J397="","título, ","")&amp;IF($C397="","responsável, ","")&amp;IF($D397="","tipo, ","")&amp;IF($I397="","canal, ","")&amp;IF($H397="","município, ","")&amp;IF(AND($U397="Sim",$E397=""),"empresa, ","")&amp;IF(AND($U397="Sim",$F397=""),"editor, ","")&amp;IF(AND($K397="Concluído",$N397=""),"data de conclusão, ","")&amp;IF(AND($K397="Concluído",$R397=""),"link, ","")&amp;IF(AND($K397="Concluído",$L397=""),"quem liberou, ",""))-2)))</f>
        <v/>
      </c>
      <c r="R397" s="38"/>
      <c r="S397" s="38"/>
      <c r="T397" s="38"/>
      <c r="U397" s="40" t="str">
        <f aca="false">IF($A397="","",IFERROR(INDEX(Listas!$E$5:$E$64,MATCH($D397,Listas!$C$5:$C$64,0)),"Não"))</f>
        <v/>
      </c>
    </row>
    <row r="398" customFormat="false" ht="15" hidden="false" customHeight="false" outlineLevel="0" collapsed="false">
      <c r="A398" s="37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9" t="str">
        <f aca="false">IF(OR($A398="",$D398=""),"",$A398+IFERROR(INDEX(Listas!$D$5:$D$64,MATCH($D398,Listas!$C$5:$C$64,0)),3))</f>
        <v/>
      </c>
      <c r="N398" s="37"/>
      <c r="O398" s="40" t="str">
        <f aca="false">IF($A398="","",IF($K398="Concluído","Sim","Não"))</f>
        <v/>
      </c>
      <c r="P398" s="40" t="str">
        <f aca="true">IF($A398="","",IF($K398="Stand-by","Stand-by",IF($K398="Concluído","Concluída",IF(AND($M398&lt;&gt;"",$M398&lt;TODAY()),"Atrasada","Em dia"))))</f>
        <v/>
      </c>
      <c r="Q398" s="40" t="str">
        <f aca="false">IF($A398="","",IF(LEN(IF($J398="","título, ","")&amp;IF($C398="","responsável, ","")&amp;IF($D398="","tipo, ","")&amp;IF($I398="","canal, ","")&amp;IF($H398="","município, ","")&amp;IF(AND($U398="Sim",$E398=""),"empresa, ","")&amp;IF(AND($U398="Sim",$F398=""),"editor, ","")&amp;IF(AND($K398="Concluído",$N398=""),"data de conclusão, ","")&amp;IF(AND($K398="Concluído",$R398=""),"link, ","")&amp;IF(AND($K398="Concluído",$L398=""),"quem liberou, ",""))=0,"OK","Falta "&amp;LEFT(IF($J398="","título, ","")&amp;IF($C398="","responsável, ","")&amp;IF($D398="","tipo, ","")&amp;IF($I398="","canal, ","")&amp;IF($H398="","município, ","")&amp;IF(AND($U398="Sim",$E398=""),"empresa, ","")&amp;IF(AND($U398="Sim",$F398=""),"editor, ","")&amp;IF(AND($K398="Concluído",$N398=""),"data de conclusão, ","")&amp;IF(AND($K398="Concluído",$R398=""),"link, ","")&amp;IF(AND($K398="Concluído",$L398=""),"quem liberou, ",""),LEN(IF($J398="","título, ","")&amp;IF($C398="","responsável, ","")&amp;IF($D398="","tipo, ","")&amp;IF($I398="","canal, ","")&amp;IF($H398="","município, ","")&amp;IF(AND($U398="Sim",$E398=""),"empresa, ","")&amp;IF(AND($U398="Sim",$F398=""),"editor, ","")&amp;IF(AND($K398="Concluído",$N398=""),"data de conclusão, ","")&amp;IF(AND($K398="Concluído",$R398=""),"link, ","")&amp;IF(AND($K398="Concluído",$L398=""),"quem liberou, ",""))-2)))</f>
        <v/>
      </c>
      <c r="R398" s="38"/>
      <c r="S398" s="38"/>
      <c r="T398" s="38"/>
      <c r="U398" s="40" t="str">
        <f aca="false">IF($A398="","",IFERROR(INDEX(Listas!$E$5:$E$64,MATCH($D398,Listas!$C$5:$C$64,0)),"Não"))</f>
        <v/>
      </c>
    </row>
    <row r="399" customFormat="false" ht="15" hidden="false" customHeight="false" outlineLevel="0" collapsed="false">
      <c r="A399" s="37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9" t="str">
        <f aca="false">IF(OR($A399="",$D399=""),"",$A399+IFERROR(INDEX(Listas!$D$5:$D$64,MATCH($D399,Listas!$C$5:$C$64,0)),3))</f>
        <v/>
      </c>
      <c r="N399" s="37"/>
      <c r="O399" s="40" t="str">
        <f aca="false">IF($A399="","",IF($K399="Concluído","Sim","Não"))</f>
        <v/>
      </c>
      <c r="P399" s="40" t="str">
        <f aca="true">IF($A399="","",IF($K399="Stand-by","Stand-by",IF($K399="Concluído","Concluída",IF(AND($M399&lt;&gt;"",$M399&lt;TODAY()),"Atrasada","Em dia"))))</f>
        <v/>
      </c>
      <c r="Q399" s="40" t="str">
        <f aca="false">IF($A399="","",IF(LEN(IF($J399="","título, ","")&amp;IF($C399="","responsável, ","")&amp;IF($D399="","tipo, ","")&amp;IF($I399="","canal, ","")&amp;IF($H399="","município, ","")&amp;IF(AND($U399="Sim",$E399=""),"empresa, ","")&amp;IF(AND($U399="Sim",$F399=""),"editor, ","")&amp;IF(AND($K399="Concluído",$N399=""),"data de conclusão, ","")&amp;IF(AND($K399="Concluído",$R399=""),"link, ","")&amp;IF(AND($K399="Concluído",$L399=""),"quem liberou, ",""))=0,"OK","Falta "&amp;LEFT(IF($J399="","título, ","")&amp;IF($C399="","responsável, ","")&amp;IF($D399="","tipo, ","")&amp;IF($I399="","canal, ","")&amp;IF($H399="","município, ","")&amp;IF(AND($U399="Sim",$E399=""),"empresa, ","")&amp;IF(AND($U399="Sim",$F399=""),"editor, ","")&amp;IF(AND($K399="Concluído",$N399=""),"data de conclusão, ","")&amp;IF(AND($K399="Concluído",$R399=""),"link, ","")&amp;IF(AND($K399="Concluído",$L399=""),"quem liberou, ",""),LEN(IF($J399="","título, ","")&amp;IF($C399="","responsável, ","")&amp;IF($D399="","tipo, ","")&amp;IF($I399="","canal, ","")&amp;IF($H399="","município, ","")&amp;IF(AND($U399="Sim",$E399=""),"empresa, ","")&amp;IF(AND($U399="Sim",$F399=""),"editor, ","")&amp;IF(AND($K399="Concluído",$N399=""),"data de conclusão, ","")&amp;IF(AND($K399="Concluído",$R399=""),"link, ","")&amp;IF(AND($K399="Concluído",$L399=""),"quem liberou, ",""))-2)))</f>
        <v/>
      </c>
      <c r="R399" s="38"/>
      <c r="S399" s="38"/>
      <c r="T399" s="38"/>
      <c r="U399" s="40" t="str">
        <f aca="false">IF($A399="","",IFERROR(INDEX(Listas!$E$5:$E$64,MATCH($D399,Listas!$C$5:$C$64,0)),"Não"))</f>
        <v/>
      </c>
    </row>
    <row r="400" customFormat="false" ht="15" hidden="false" customHeight="false" outlineLevel="0" collapsed="false">
      <c r="A400" s="37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9" t="str">
        <f aca="false">IF(OR($A400="",$D400=""),"",$A400+IFERROR(INDEX(Listas!$D$5:$D$64,MATCH($D400,Listas!$C$5:$C$64,0)),3))</f>
        <v/>
      </c>
      <c r="N400" s="37"/>
      <c r="O400" s="40" t="str">
        <f aca="false">IF($A400="","",IF($K400="Concluído","Sim","Não"))</f>
        <v/>
      </c>
      <c r="P400" s="40" t="str">
        <f aca="true">IF($A400="","",IF($K400="Stand-by","Stand-by",IF($K400="Concluído","Concluída",IF(AND($M400&lt;&gt;"",$M400&lt;TODAY()),"Atrasada","Em dia"))))</f>
        <v/>
      </c>
      <c r="Q400" s="40" t="str">
        <f aca="false">IF($A400="","",IF(LEN(IF($J400="","título, ","")&amp;IF($C400="","responsável, ","")&amp;IF($D400="","tipo, ","")&amp;IF($I400="","canal, ","")&amp;IF($H400="","município, ","")&amp;IF(AND($U400="Sim",$E400=""),"empresa, ","")&amp;IF(AND($U400="Sim",$F400=""),"editor, ","")&amp;IF(AND($K400="Concluído",$N400=""),"data de conclusão, ","")&amp;IF(AND($K400="Concluído",$R400=""),"link, ","")&amp;IF(AND($K400="Concluído",$L400=""),"quem liberou, ",""))=0,"OK","Falta "&amp;LEFT(IF($J400="","título, ","")&amp;IF($C400="","responsável, ","")&amp;IF($D400="","tipo, ","")&amp;IF($I400="","canal, ","")&amp;IF($H400="","município, ","")&amp;IF(AND($U400="Sim",$E400=""),"empresa, ","")&amp;IF(AND($U400="Sim",$F400=""),"editor, ","")&amp;IF(AND($K400="Concluído",$N400=""),"data de conclusão, ","")&amp;IF(AND($K400="Concluído",$R400=""),"link, ","")&amp;IF(AND($K400="Concluído",$L400=""),"quem liberou, ",""),LEN(IF($J400="","título, ","")&amp;IF($C400="","responsável, ","")&amp;IF($D400="","tipo, ","")&amp;IF($I400="","canal, ","")&amp;IF($H400="","município, ","")&amp;IF(AND($U400="Sim",$E400=""),"empresa, ","")&amp;IF(AND($U400="Sim",$F400=""),"editor, ","")&amp;IF(AND($K400="Concluído",$N400=""),"data de conclusão, ","")&amp;IF(AND($K400="Concluído",$R400=""),"link, ","")&amp;IF(AND($K400="Concluído",$L400=""),"quem liberou, ",""))-2)))</f>
        <v/>
      </c>
      <c r="R400" s="38"/>
      <c r="S400" s="38"/>
      <c r="T400" s="38"/>
      <c r="U400" s="40" t="str">
        <f aca="false">IF($A400="","",IFERROR(INDEX(Listas!$E$5:$E$64,MATCH($D400,Listas!$C$5:$C$64,0)),"Não"))</f>
        <v/>
      </c>
    </row>
    <row r="401" customFormat="false" ht="15" hidden="false" customHeight="false" outlineLevel="0" collapsed="false">
      <c r="A401" s="37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9" t="str">
        <f aca="false">IF(OR($A401="",$D401=""),"",$A401+IFERROR(INDEX(Listas!$D$5:$D$64,MATCH($D401,Listas!$C$5:$C$64,0)),3))</f>
        <v/>
      </c>
      <c r="N401" s="37"/>
      <c r="O401" s="40" t="str">
        <f aca="false">IF($A401="","",IF($K401="Concluído","Sim","Não"))</f>
        <v/>
      </c>
      <c r="P401" s="40" t="str">
        <f aca="true">IF($A401="","",IF($K401="Stand-by","Stand-by",IF($K401="Concluído","Concluída",IF(AND($M401&lt;&gt;"",$M401&lt;TODAY()),"Atrasada","Em dia"))))</f>
        <v/>
      </c>
      <c r="Q401" s="40" t="str">
        <f aca="false">IF($A401="","",IF(LEN(IF($J401="","título, ","")&amp;IF($C401="","responsável, ","")&amp;IF($D401="","tipo, ","")&amp;IF($I401="","canal, ","")&amp;IF($H401="","município, ","")&amp;IF(AND($U401="Sim",$E401=""),"empresa, ","")&amp;IF(AND($U401="Sim",$F401=""),"editor, ","")&amp;IF(AND($K401="Concluído",$N401=""),"data de conclusão, ","")&amp;IF(AND($K401="Concluído",$R401=""),"link, ","")&amp;IF(AND($K401="Concluído",$L401=""),"quem liberou, ",""))=0,"OK","Falta "&amp;LEFT(IF($J401="","título, ","")&amp;IF($C401="","responsável, ","")&amp;IF($D401="","tipo, ","")&amp;IF($I401="","canal, ","")&amp;IF($H401="","município, ","")&amp;IF(AND($U401="Sim",$E401=""),"empresa, ","")&amp;IF(AND($U401="Sim",$F401=""),"editor, ","")&amp;IF(AND($K401="Concluído",$N401=""),"data de conclusão, ","")&amp;IF(AND($K401="Concluído",$R401=""),"link, ","")&amp;IF(AND($K401="Concluído",$L401=""),"quem liberou, ",""),LEN(IF($J401="","título, ","")&amp;IF($C401="","responsável, ","")&amp;IF($D401="","tipo, ","")&amp;IF($I401="","canal, ","")&amp;IF($H401="","município, ","")&amp;IF(AND($U401="Sim",$E401=""),"empresa, ","")&amp;IF(AND($U401="Sim",$F401=""),"editor, ","")&amp;IF(AND($K401="Concluído",$N401=""),"data de conclusão, ","")&amp;IF(AND($K401="Concluído",$R401=""),"link, ","")&amp;IF(AND($K401="Concluído",$L401=""),"quem liberou, ",""))-2)))</f>
        <v/>
      </c>
      <c r="R401" s="38"/>
      <c r="S401" s="38"/>
      <c r="T401" s="38"/>
      <c r="U401" s="40" t="str">
        <f aca="false">IF($A401="","",IFERROR(INDEX(Listas!$E$5:$E$64,MATCH($D401,Listas!$C$5:$C$64,0)),"Não"))</f>
        <v/>
      </c>
    </row>
    <row r="402" customFormat="false" ht="15" hidden="false" customHeight="false" outlineLevel="0" collapsed="false">
      <c r="A402" s="37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9" t="str">
        <f aca="false">IF(OR($A402="",$D402=""),"",$A402+IFERROR(INDEX(Listas!$D$5:$D$64,MATCH($D402,Listas!$C$5:$C$64,0)),3))</f>
        <v/>
      </c>
      <c r="N402" s="37"/>
      <c r="O402" s="40" t="str">
        <f aca="false">IF($A402="","",IF($K402="Concluído","Sim","Não"))</f>
        <v/>
      </c>
      <c r="P402" s="40" t="str">
        <f aca="true">IF($A402="","",IF($K402="Stand-by","Stand-by",IF($K402="Concluído","Concluída",IF(AND($M402&lt;&gt;"",$M402&lt;TODAY()),"Atrasada","Em dia"))))</f>
        <v/>
      </c>
      <c r="Q402" s="40" t="str">
        <f aca="false">IF($A402="","",IF(LEN(IF($J402="","título, ","")&amp;IF($C402="","responsável, ","")&amp;IF($D402="","tipo, ","")&amp;IF($I402="","canal, ","")&amp;IF($H402="","município, ","")&amp;IF(AND($U402="Sim",$E402=""),"empresa, ","")&amp;IF(AND($U402="Sim",$F402=""),"editor, ","")&amp;IF(AND($K402="Concluído",$N402=""),"data de conclusão, ","")&amp;IF(AND($K402="Concluído",$R402=""),"link, ","")&amp;IF(AND($K402="Concluído",$L402=""),"quem liberou, ",""))=0,"OK","Falta "&amp;LEFT(IF($J402="","título, ","")&amp;IF($C402="","responsável, ","")&amp;IF($D402="","tipo, ","")&amp;IF($I402="","canal, ","")&amp;IF($H402="","município, ","")&amp;IF(AND($U402="Sim",$E402=""),"empresa, ","")&amp;IF(AND($U402="Sim",$F402=""),"editor, ","")&amp;IF(AND($K402="Concluído",$N402=""),"data de conclusão, ","")&amp;IF(AND($K402="Concluído",$R402=""),"link, ","")&amp;IF(AND($K402="Concluído",$L402=""),"quem liberou, ",""),LEN(IF($J402="","título, ","")&amp;IF($C402="","responsável, ","")&amp;IF($D402="","tipo, ","")&amp;IF($I402="","canal, ","")&amp;IF($H402="","município, ","")&amp;IF(AND($U402="Sim",$E402=""),"empresa, ","")&amp;IF(AND($U402="Sim",$F402=""),"editor, ","")&amp;IF(AND($K402="Concluído",$N402=""),"data de conclusão, ","")&amp;IF(AND($K402="Concluído",$R402=""),"link, ","")&amp;IF(AND($K402="Concluído",$L402=""),"quem liberou, ",""))-2)))</f>
        <v/>
      </c>
      <c r="R402" s="38"/>
      <c r="S402" s="38"/>
      <c r="T402" s="38"/>
      <c r="U402" s="40" t="str">
        <f aca="false">IF($A402="","",IFERROR(INDEX(Listas!$E$5:$E$64,MATCH($D402,Listas!$C$5:$C$64,0)),"Não"))</f>
        <v/>
      </c>
    </row>
    <row r="403" customFormat="false" ht="15" hidden="false" customHeight="false" outlineLevel="0" collapsed="false">
      <c r="A403" s="37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9" t="str">
        <f aca="false">IF(OR($A403="",$D403=""),"",$A403+IFERROR(INDEX(Listas!$D$5:$D$64,MATCH($D403,Listas!$C$5:$C$64,0)),3))</f>
        <v/>
      </c>
      <c r="N403" s="37"/>
      <c r="O403" s="40" t="str">
        <f aca="false">IF($A403="","",IF($K403="Concluído","Sim","Não"))</f>
        <v/>
      </c>
      <c r="P403" s="40" t="str">
        <f aca="true">IF($A403="","",IF($K403="Stand-by","Stand-by",IF($K403="Concluído","Concluída",IF(AND($M403&lt;&gt;"",$M403&lt;TODAY()),"Atrasada","Em dia"))))</f>
        <v/>
      </c>
      <c r="Q403" s="40" t="str">
        <f aca="false">IF($A403="","",IF(LEN(IF($J403="","título, ","")&amp;IF($C403="","responsável, ","")&amp;IF($D403="","tipo, ","")&amp;IF($I403="","canal, ","")&amp;IF($H403="","município, ","")&amp;IF(AND($U403="Sim",$E403=""),"empresa, ","")&amp;IF(AND($U403="Sim",$F403=""),"editor, ","")&amp;IF(AND($K403="Concluído",$N403=""),"data de conclusão, ","")&amp;IF(AND($K403="Concluído",$R403=""),"link, ","")&amp;IF(AND($K403="Concluído",$L403=""),"quem liberou, ",""))=0,"OK","Falta "&amp;LEFT(IF($J403="","título, ","")&amp;IF($C403="","responsável, ","")&amp;IF($D403="","tipo, ","")&amp;IF($I403="","canal, ","")&amp;IF($H403="","município, ","")&amp;IF(AND($U403="Sim",$E403=""),"empresa, ","")&amp;IF(AND($U403="Sim",$F403=""),"editor, ","")&amp;IF(AND($K403="Concluído",$N403=""),"data de conclusão, ","")&amp;IF(AND($K403="Concluído",$R403=""),"link, ","")&amp;IF(AND($K403="Concluído",$L403=""),"quem liberou, ",""),LEN(IF($J403="","título, ","")&amp;IF($C403="","responsável, ","")&amp;IF($D403="","tipo, ","")&amp;IF($I403="","canal, ","")&amp;IF($H403="","município, ","")&amp;IF(AND($U403="Sim",$E403=""),"empresa, ","")&amp;IF(AND($U403="Sim",$F403=""),"editor, ","")&amp;IF(AND($K403="Concluído",$N403=""),"data de conclusão, ","")&amp;IF(AND($K403="Concluído",$R403=""),"link, ","")&amp;IF(AND($K403="Concluído",$L403=""),"quem liberou, ",""))-2)))</f>
        <v/>
      </c>
      <c r="R403" s="38"/>
      <c r="S403" s="38"/>
      <c r="T403" s="38"/>
      <c r="U403" s="40" t="str">
        <f aca="false">IF($A403="","",IFERROR(INDEX(Listas!$E$5:$E$64,MATCH($D403,Listas!$C$5:$C$64,0)),"Não"))</f>
        <v/>
      </c>
    </row>
    <row r="404" customFormat="false" ht="15" hidden="false" customHeight="false" outlineLevel="0" collapsed="false">
      <c r="A404" s="37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9" t="str">
        <f aca="false">IF(OR($A404="",$D404=""),"",$A404+IFERROR(INDEX(Listas!$D$5:$D$64,MATCH($D404,Listas!$C$5:$C$64,0)),3))</f>
        <v/>
      </c>
      <c r="N404" s="37"/>
      <c r="O404" s="40" t="str">
        <f aca="false">IF($A404="","",IF($K404="Concluído","Sim","Não"))</f>
        <v/>
      </c>
      <c r="P404" s="40" t="str">
        <f aca="true">IF($A404="","",IF($K404="Stand-by","Stand-by",IF($K404="Concluído","Concluída",IF(AND($M404&lt;&gt;"",$M404&lt;TODAY()),"Atrasada","Em dia"))))</f>
        <v/>
      </c>
      <c r="Q404" s="40" t="str">
        <f aca="false">IF($A404="","",IF(LEN(IF($J404="","título, ","")&amp;IF($C404="","responsável, ","")&amp;IF($D404="","tipo, ","")&amp;IF($I404="","canal, ","")&amp;IF($H404="","município, ","")&amp;IF(AND($U404="Sim",$E404=""),"empresa, ","")&amp;IF(AND($U404="Sim",$F404=""),"editor, ","")&amp;IF(AND($K404="Concluído",$N404=""),"data de conclusão, ","")&amp;IF(AND($K404="Concluído",$R404=""),"link, ","")&amp;IF(AND($K404="Concluído",$L404=""),"quem liberou, ",""))=0,"OK","Falta "&amp;LEFT(IF($J404="","título, ","")&amp;IF($C404="","responsável, ","")&amp;IF($D404="","tipo, ","")&amp;IF($I404="","canal, ","")&amp;IF($H404="","município, ","")&amp;IF(AND($U404="Sim",$E404=""),"empresa, ","")&amp;IF(AND($U404="Sim",$F404=""),"editor, ","")&amp;IF(AND($K404="Concluído",$N404=""),"data de conclusão, ","")&amp;IF(AND($K404="Concluído",$R404=""),"link, ","")&amp;IF(AND($K404="Concluído",$L404=""),"quem liberou, ",""),LEN(IF($J404="","título, ","")&amp;IF($C404="","responsável, ","")&amp;IF($D404="","tipo, ","")&amp;IF($I404="","canal, ","")&amp;IF($H404="","município, ","")&amp;IF(AND($U404="Sim",$E404=""),"empresa, ","")&amp;IF(AND($U404="Sim",$F404=""),"editor, ","")&amp;IF(AND($K404="Concluído",$N404=""),"data de conclusão, ","")&amp;IF(AND($K404="Concluído",$R404=""),"link, ","")&amp;IF(AND($K404="Concluído",$L404=""),"quem liberou, ",""))-2)))</f>
        <v/>
      </c>
      <c r="R404" s="38"/>
      <c r="S404" s="38"/>
      <c r="T404" s="38"/>
      <c r="U404" s="40" t="str">
        <f aca="false">IF($A404="","",IFERROR(INDEX(Listas!$E$5:$E$64,MATCH($D404,Listas!$C$5:$C$64,0)),"Não"))</f>
        <v/>
      </c>
    </row>
  </sheetData>
  <autoFilter ref="A4:U404"/>
  <conditionalFormatting sqref="P5:P404">
    <cfRule type="expression" priority="2" aboveAverage="0" equalAverage="0" bottom="0" percent="0" rank="0" text="" dxfId="0">
      <formula>$P5="Atrasada"</formula>
    </cfRule>
    <cfRule type="expression" priority="3" aboveAverage="0" equalAverage="0" bottom="0" percent="0" rank="0" text="" dxfId="11">
      <formula>$P5="Concluída"</formula>
    </cfRule>
  </conditionalFormatting>
  <conditionalFormatting sqref="Q5:Q404">
    <cfRule type="expression" priority="4" aboveAverage="0" equalAverage="0" bottom="0" percent="0" rank="0" text="" dxfId="11">
      <formula>$Q5="OK"</formula>
    </cfRule>
    <cfRule type="expression" priority="5" aboveAverage="0" equalAverage="0" bottom="0" percent="0" rank="0" text="" dxfId="12">
      <formula>LEFT($Q5,5)="Falta"</formula>
    </cfRule>
  </conditionalFormatting>
  <conditionalFormatting sqref="E5:F404">
    <cfRule type="expression" priority="6" aboveAverage="0" equalAverage="0" bottom="0" percent="0" rank="0" text="" dxfId="13">
      <formula>AND($U5="Sim",E5="")</formula>
    </cfRule>
  </conditionalFormatting>
  <conditionalFormatting sqref="N5:N404">
    <cfRule type="expression" priority="7" aboveAverage="0" equalAverage="0" bottom="0" percent="0" rank="0" text="" dxfId="13">
      <formula>AND($K5="Concluído",$N5="")</formula>
    </cfRule>
  </conditionalFormatting>
  <conditionalFormatting sqref="A5:A404">
    <cfRule type="expression" priority="8" aboveAverage="0" equalAverage="0" bottom="0" percent="0" rank="0" text="" dxfId="14">
      <formula>AND($A5&lt;&gt;"",$A5&gt;='Por dia'!$R$5,$A5&lt;='Por dia'!$S$5)</formula>
    </cfRule>
  </conditionalFormatting>
  <dataValidations count="9">
    <dataValidation allowBlank="true" errorStyle="stop" operator="between" prompt="Squad responsável" promptTitle="Escolha ou digite" showDropDown="false" showErrorMessage="false" showInputMessage="false" sqref="B5:B404" type="list">
      <formula1>OFFSET(Listas!$A$5,0,0,MAX(1,COUNTA(Listas!$A$5:$A$64)),1)</formula1>
      <formula2>0</formula2>
    </dataValidation>
    <dataValidation allowBlank="true" errorStyle="stop" operator="between" prompt="Quem faz" promptTitle="Escolha ou digite" showDropDown="false" showErrorMessage="false" showInputMessage="false" sqref="C5:C404" type="list">
      <formula1>OFFSET(Listas!$B$5,0,0,MAX(1,COUNTA(Listas!$B$5:$B$64)),1)</formula1>
      <formula2>0</formula2>
    </dataValidation>
    <dataValidation allowBlank="true" errorStyle="stop" operator="between" prompt="Tipo de conteúdo" promptTitle="Escolha ou digite" showDropDown="false" showErrorMessage="false" showInputMessage="false" sqref="D5:D404" type="list">
      <formula1>OFFSET(Listas!$C$5,0,0,MAX(1,COUNTA(Listas!$C$5:$C$64)),1)</formula1>
      <formula2>0</formula2>
    </dataValidation>
    <dataValidation allowBlank="true" errorStyle="stop" operator="between" prompt="Produtora ou agência. Obrigatório em vídeo, spot, testemunhal e cobertura" promptTitle="Escolha ou digite" showDropDown="false" showErrorMessage="false" showInputMessage="false" sqref="E5:E404" type="list">
      <formula1>OFFSET(Listas!$F$5,0,0,MAX(1,COUNTA(Listas!$F$5:$F$64)),1)</formula1>
      <formula2>0</formula2>
    </dataValidation>
    <dataValidation allowBlank="true" errorStyle="stop" operator="between" prompt="Quem edita. Pode digitar um nome novo" promptTitle="Escolha ou digite" showDropDown="false" showErrorMessage="false" showInputMessage="false" sqref="F5:F404" type="list">
      <formula1>OFFSET(Listas!$G$5,0,0,MAX(1,COUNTA(Listas!$G$5:$G$64)),1)</formula1>
      <formula2>0</formula2>
    </dataValidation>
    <dataValidation allowBlank="true" errorStyle="stop" operator="between" prompt="Marca" promptTitle="Escolha ou digite" showDropDown="false" showErrorMessage="false" showInputMessage="false" sqref="G5:G404" type="list">
      <formula1>OFFSET(Listas!$H$5,0,0,MAX(1,COUNTA(Listas!$H$5:$H$64)),1)</formula1>
      <formula2>0</formula2>
    </dataValidation>
    <dataValidation allowBlank="true" errorStyle="stop" operator="between" prompt="Canal" promptTitle="Escolha ou digite" showDropDown="false" showErrorMessage="false" showInputMessage="false" sqref="I5:I404" type="list">
      <formula1>OFFSET(Listas!$I$5,0,0,MAX(1,COUNTA(Listas!$I$5:$I$64)),1)</formula1>
      <formula2>0</formula2>
    </dataValidation>
    <dataValidation allowBlank="true" errorStyle="stop" operator="between" prompt="Status" promptTitle="Escolha ou digite" showDropDown="false" showErrorMessage="false" showInputMessage="false" sqref="K5:K404" type="list">
      <formula1>OFFSET(Listas!$J$5,0,0,MAX(1,COUNTA(Listas!$J$5:$J$64)),1)</formula1>
      <formula2>0</formula2>
    </dataValidation>
    <dataValidation allowBlank="true" errorStyle="stop" operator="between" prompt="Quem liberou para Concluído" promptTitle="Escolha ou digite" showDropDown="false" showErrorMessage="false" showInputMessage="false" sqref="L5:L404" type="list">
      <formula1>OFFSET(Listas!$K$5,0,0,MAX(1,COUNTA(Listas!$K$5:$K$64)),1)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36"/>
    <col collapsed="false" customWidth="true" hidden="false" outlineLevel="0" max="9" min="7" style="0" width="12"/>
    <col collapsed="false" customWidth="true" hidden="false" outlineLevel="0" max="10" min="10" style="0" width="28"/>
    <col collapsed="false" customWidth="true" hidden="false" outlineLevel="0" max="11" min="11" style="0" width="24"/>
    <col collapsed="false" customWidth="true" hidden="false" outlineLevel="0" max="12" min="12" style="0" width="26"/>
    <col collapsed="false" customWidth="true" hidden="false" outlineLevel="0" max="13" min="13" style="0" width="24"/>
  </cols>
  <sheetData>
    <row r="1" customFormat="false" ht="25.5" hidden="false" customHeight="true" outlineLevel="0" collapsed="false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3.5" hidden="false" customHeight="true" outlineLevel="0" collapsed="false">
      <c r="A2" s="3" t="s">
        <v>180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30" hidden="false" customHeight="true" outlineLevel="0" collapsed="false">
      <c r="A4" s="26" t="s">
        <v>181</v>
      </c>
      <c r="B4" s="26" t="s">
        <v>36</v>
      </c>
      <c r="C4" s="26" t="s">
        <v>182</v>
      </c>
      <c r="D4" s="26" t="s">
        <v>73</v>
      </c>
      <c r="E4" s="26" t="s">
        <v>74</v>
      </c>
      <c r="F4" s="26" t="s">
        <v>183</v>
      </c>
      <c r="G4" s="26" t="s">
        <v>29</v>
      </c>
      <c r="H4" s="26" t="s">
        <v>30</v>
      </c>
      <c r="I4" s="26" t="s">
        <v>75</v>
      </c>
      <c r="J4" s="26" t="s">
        <v>184</v>
      </c>
      <c r="K4" s="26" t="s">
        <v>185</v>
      </c>
      <c r="L4" s="26" t="s">
        <v>171</v>
      </c>
      <c r="M4" s="26" t="s">
        <v>174</v>
      </c>
    </row>
    <row r="5" customFormat="false" ht="15" hidden="false" customHeight="false" outlineLevel="0" collapsed="false">
      <c r="A5" s="32" t="n">
        <v>46280</v>
      </c>
      <c r="B5" s="33" t="s">
        <v>77</v>
      </c>
      <c r="C5" s="33" t="s">
        <v>176</v>
      </c>
      <c r="D5" s="33" t="s">
        <v>87</v>
      </c>
      <c r="E5" s="33" t="s">
        <v>88</v>
      </c>
      <c r="F5" s="33" t="s">
        <v>186</v>
      </c>
      <c r="G5" s="41" t="n">
        <v>3400</v>
      </c>
      <c r="H5" s="41" t="n">
        <v>120</v>
      </c>
      <c r="I5" s="33" t="s">
        <v>89</v>
      </c>
      <c r="J5" s="33" t="s">
        <v>187</v>
      </c>
      <c r="K5" s="33" t="s">
        <v>78</v>
      </c>
      <c r="L5" s="35" t="str">
        <f aca="false">IF($A5="","",IF(LEN(IF($F5="","título, ","")&amp;IF($D5="","veículo, ","")&amp;IF($I5="","tom, ","")&amp;IF($J5="","link, ","")&amp;IF($G5="","alcance, ",""))=0,"OK","Falta "&amp;LEFT(IF($F5="","título, ","")&amp;IF($D5="","veículo, ","")&amp;IF($I5="","tom, ","")&amp;IF($J5="","link, ","")&amp;IF($G5="","alcance, ",""),LEN(IF($F5="","título, ","")&amp;IF($D5="","veículo, ","")&amp;IF($I5="","tom, ","")&amp;IF($J5="","link, ","")&amp;IF($G5="","alcance, ",""))-2)))</f>
        <v>OK</v>
      </c>
      <c r="M5" s="33" t="s">
        <v>178</v>
      </c>
    </row>
    <row r="6" customFormat="false" ht="15" hidden="false" customHeight="false" outlineLevel="0" collapsed="false">
      <c r="A6" s="37"/>
      <c r="B6" s="38"/>
      <c r="C6" s="38"/>
      <c r="D6" s="38"/>
      <c r="E6" s="38"/>
      <c r="F6" s="38"/>
      <c r="G6" s="42"/>
      <c r="H6" s="42"/>
      <c r="I6" s="38"/>
      <c r="J6" s="38"/>
      <c r="K6" s="38"/>
      <c r="L6" s="40" t="str">
        <f aca="false">IF($A6="","",IF(LEN(IF($F6="","título, ","")&amp;IF($D6="","veículo, ","")&amp;IF($I6="","tom, ","")&amp;IF($J6="","link, ","")&amp;IF($G6="","alcance, ",""))=0,"OK","Falta "&amp;LEFT(IF($F6="","título, ","")&amp;IF($D6="","veículo, ","")&amp;IF($I6="","tom, ","")&amp;IF($J6="","link, ","")&amp;IF($G6="","alcance, ",""),LEN(IF($F6="","título, ","")&amp;IF($D6="","veículo, ","")&amp;IF($I6="","tom, ","")&amp;IF($J6="","link, ","")&amp;IF($G6="","alcance, ",""))-2)))</f>
        <v/>
      </c>
      <c r="M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8"/>
      <c r="G7" s="42"/>
      <c r="H7" s="42"/>
      <c r="I7" s="38"/>
      <c r="J7" s="38"/>
      <c r="K7" s="38"/>
      <c r="L7" s="40" t="str">
        <f aca="false">IF($A7="","",IF(LEN(IF($F7="","título, ","")&amp;IF($D7="","veículo, ","")&amp;IF($I7="","tom, ","")&amp;IF($J7="","link, ","")&amp;IF($G7="","alcance, ",""))=0,"OK","Falta "&amp;LEFT(IF($F7="","título, ","")&amp;IF($D7="","veículo, ","")&amp;IF($I7="","tom, ","")&amp;IF($J7="","link, ","")&amp;IF($G7="","alcance, ",""),LEN(IF($F7="","título, ","")&amp;IF($D7="","veículo, ","")&amp;IF($I7="","tom, ","")&amp;IF($J7="","link, ","")&amp;IF($G7="","alcance, ",""))-2)))</f>
        <v/>
      </c>
      <c r="M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8"/>
      <c r="G8" s="42"/>
      <c r="H8" s="42"/>
      <c r="I8" s="38"/>
      <c r="J8" s="38"/>
      <c r="K8" s="38"/>
      <c r="L8" s="40" t="str">
        <f aca="false">IF($A8="","",IF(LEN(IF($F8="","título, ","")&amp;IF($D8="","veículo, ","")&amp;IF($I8="","tom, ","")&amp;IF($J8="","link, ","")&amp;IF($G8="","alcance, ",""))=0,"OK","Falta "&amp;LEFT(IF($F8="","título, ","")&amp;IF($D8="","veículo, ","")&amp;IF($I8="","tom, ","")&amp;IF($J8="","link, ","")&amp;IF($G8="","alcance, ",""),LEN(IF($F8="","título, ","")&amp;IF($D8="","veículo, ","")&amp;IF($I8="","tom, ","")&amp;IF($J8="","link, ","")&amp;IF($G8="","alcance, ",""))-2)))</f>
        <v/>
      </c>
      <c r="M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8"/>
      <c r="G9" s="42"/>
      <c r="H9" s="42"/>
      <c r="I9" s="38"/>
      <c r="J9" s="38"/>
      <c r="K9" s="38"/>
      <c r="L9" s="40" t="str">
        <f aca="false">IF($A9="","",IF(LEN(IF($F9="","título, ","")&amp;IF($D9="","veículo, ","")&amp;IF($I9="","tom, ","")&amp;IF($J9="","link, ","")&amp;IF($G9="","alcance, ",""))=0,"OK","Falta "&amp;LEFT(IF($F9="","título, ","")&amp;IF($D9="","veículo, ","")&amp;IF($I9="","tom, ","")&amp;IF($J9="","link, ","")&amp;IF($G9="","alcance, ",""),LEN(IF($F9="","título, ","")&amp;IF($D9="","veículo, ","")&amp;IF($I9="","tom, ","")&amp;IF($J9="","link, ","")&amp;IF($G9="","alcance, ",""))-2)))</f>
        <v/>
      </c>
      <c r="M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8"/>
      <c r="G10" s="42"/>
      <c r="H10" s="42"/>
      <c r="I10" s="38"/>
      <c r="J10" s="38"/>
      <c r="K10" s="38"/>
      <c r="L10" s="40" t="str">
        <f aca="false">IF($A10="","",IF(LEN(IF($F10="","título, ","")&amp;IF($D10="","veículo, ","")&amp;IF($I10="","tom, ","")&amp;IF($J10="","link, ","")&amp;IF($G10="","alcance, ",""))=0,"OK","Falta "&amp;LEFT(IF($F10="","título, ","")&amp;IF($D10="","veículo, ","")&amp;IF($I10="","tom, ","")&amp;IF($J10="","link, ","")&amp;IF($G10="","alcance, ",""),LEN(IF($F10="","título, ","")&amp;IF($D10="","veículo, ","")&amp;IF($I10="","tom, ","")&amp;IF($J10="","link, ","")&amp;IF($G10="","alcance, ",""))-2)))</f>
        <v/>
      </c>
      <c r="M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8"/>
      <c r="G11" s="42"/>
      <c r="H11" s="42"/>
      <c r="I11" s="38"/>
      <c r="J11" s="38"/>
      <c r="K11" s="38"/>
      <c r="L11" s="40" t="str">
        <f aca="false">IF($A11="","",IF(LEN(IF($F11="","título, ","")&amp;IF($D11="","veículo, ","")&amp;IF($I11="","tom, ","")&amp;IF($J11="","link, ","")&amp;IF($G11="","alcance, ",""))=0,"OK","Falta "&amp;LEFT(IF($F11="","título, ","")&amp;IF($D11="","veículo, ","")&amp;IF($I11="","tom, ","")&amp;IF($J11="","link, ","")&amp;IF($G11="","alcance, ",""),LEN(IF($F11="","título, ","")&amp;IF($D11="","veículo, ","")&amp;IF($I11="","tom, ","")&amp;IF($J11="","link, ","")&amp;IF($G11="","alcance, ",""))-2)))</f>
        <v/>
      </c>
      <c r="M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8"/>
      <c r="G12" s="42"/>
      <c r="H12" s="42"/>
      <c r="I12" s="38"/>
      <c r="J12" s="38"/>
      <c r="K12" s="38"/>
      <c r="L12" s="40" t="str">
        <f aca="false">IF($A12="","",IF(LEN(IF($F12="","título, ","")&amp;IF($D12="","veículo, ","")&amp;IF($I12="","tom, ","")&amp;IF($J12="","link, ","")&amp;IF($G12="","alcance, ",""))=0,"OK","Falta "&amp;LEFT(IF($F12="","título, ","")&amp;IF($D12="","veículo, ","")&amp;IF($I12="","tom, ","")&amp;IF($J12="","link, ","")&amp;IF($G12="","alcance, ",""),LEN(IF($F12="","título, ","")&amp;IF($D12="","veículo, ","")&amp;IF($I12="","tom, ","")&amp;IF($J12="","link, ","")&amp;IF($G12="","alcance, ",""))-2)))</f>
        <v/>
      </c>
      <c r="M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8"/>
      <c r="G13" s="42"/>
      <c r="H13" s="42"/>
      <c r="I13" s="38"/>
      <c r="J13" s="38"/>
      <c r="K13" s="38"/>
      <c r="L13" s="40" t="str">
        <f aca="false">IF($A13="","",IF(LEN(IF($F13="","título, ","")&amp;IF($D13="","veículo, ","")&amp;IF($I13="","tom, ","")&amp;IF($J13="","link, ","")&amp;IF($G13="","alcance, ",""))=0,"OK","Falta "&amp;LEFT(IF($F13="","título, ","")&amp;IF($D13="","veículo, ","")&amp;IF($I13="","tom, ","")&amp;IF($J13="","link, ","")&amp;IF($G13="","alcance, ",""),LEN(IF($F13="","título, ","")&amp;IF($D13="","veículo, ","")&amp;IF($I13="","tom, ","")&amp;IF($J13="","link, ","")&amp;IF($G13="","alcance, ",""))-2)))</f>
        <v/>
      </c>
      <c r="M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8"/>
      <c r="G14" s="42"/>
      <c r="H14" s="42"/>
      <c r="I14" s="38"/>
      <c r="J14" s="38"/>
      <c r="K14" s="38"/>
      <c r="L14" s="40" t="str">
        <f aca="false">IF($A14="","",IF(LEN(IF($F14="","título, ","")&amp;IF($D14="","veículo, ","")&amp;IF($I14="","tom, ","")&amp;IF($J14="","link, ","")&amp;IF($G14="","alcance, ",""))=0,"OK","Falta "&amp;LEFT(IF($F14="","título, ","")&amp;IF($D14="","veículo, ","")&amp;IF($I14="","tom, ","")&amp;IF($J14="","link, ","")&amp;IF($G14="","alcance, ",""),LEN(IF($F14="","título, ","")&amp;IF($D14="","veículo, ","")&amp;IF($I14="","tom, ","")&amp;IF($J14="","link, ","")&amp;IF($G14="","alcance, ",""))-2)))</f>
        <v/>
      </c>
      <c r="M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8"/>
      <c r="G15" s="42"/>
      <c r="H15" s="42"/>
      <c r="I15" s="38"/>
      <c r="J15" s="38"/>
      <c r="K15" s="38"/>
      <c r="L15" s="40" t="str">
        <f aca="false">IF($A15="","",IF(LEN(IF($F15="","título, ","")&amp;IF($D15="","veículo, ","")&amp;IF($I15="","tom, ","")&amp;IF($J15="","link, ","")&amp;IF($G15="","alcance, ",""))=0,"OK","Falta "&amp;LEFT(IF($F15="","título, ","")&amp;IF($D15="","veículo, ","")&amp;IF($I15="","tom, ","")&amp;IF($J15="","link, ","")&amp;IF($G15="","alcance, ",""),LEN(IF($F15="","título, ","")&amp;IF($D15="","veículo, ","")&amp;IF($I15="","tom, ","")&amp;IF($J15="","link, ","")&amp;IF($G15="","alcance, ",""))-2)))</f>
        <v/>
      </c>
      <c r="M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8"/>
      <c r="G16" s="42"/>
      <c r="H16" s="42"/>
      <c r="I16" s="38"/>
      <c r="J16" s="38"/>
      <c r="K16" s="38"/>
      <c r="L16" s="40" t="str">
        <f aca="false">IF($A16="","",IF(LEN(IF($F16="","título, ","")&amp;IF($D16="","veículo, ","")&amp;IF($I16="","tom, ","")&amp;IF($J16="","link, ","")&amp;IF($G16="","alcance, ",""))=0,"OK","Falta "&amp;LEFT(IF($F16="","título, ","")&amp;IF($D16="","veículo, ","")&amp;IF($I16="","tom, ","")&amp;IF($J16="","link, ","")&amp;IF($G16="","alcance, ",""),LEN(IF($F16="","título, ","")&amp;IF($D16="","veículo, ","")&amp;IF($I16="","tom, ","")&amp;IF($J16="","link, ","")&amp;IF($G16="","alcance, ",""))-2)))</f>
        <v/>
      </c>
      <c r="M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8"/>
      <c r="G17" s="42"/>
      <c r="H17" s="42"/>
      <c r="I17" s="38"/>
      <c r="J17" s="38"/>
      <c r="K17" s="38"/>
      <c r="L17" s="40" t="str">
        <f aca="false">IF($A17="","",IF(LEN(IF($F17="","título, ","")&amp;IF($D17="","veículo, ","")&amp;IF($I17="","tom, ","")&amp;IF($J17="","link, ","")&amp;IF($G17="","alcance, ",""))=0,"OK","Falta "&amp;LEFT(IF($F17="","título, ","")&amp;IF($D17="","veículo, ","")&amp;IF($I17="","tom, ","")&amp;IF($J17="","link, ","")&amp;IF($G17="","alcance, ",""),LEN(IF($F17="","título, ","")&amp;IF($D17="","veículo, ","")&amp;IF($I17="","tom, ","")&amp;IF($J17="","link, ","")&amp;IF($G17="","alcance, ",""))-2)))</f>
        <v/>
      </c>
      <c r="M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8"/>
      <c r="G18" s="42"/>
      <c r="H18" s="42"/>
      <c r="I18" s="38"/>
      <c r="J18" s="38"/>
      <c r="K18" s="38"/>
      <c r="L18" s="40" t="str">
        <f aca="false">IF($A18="","",IF(LEN(IF($F18="","título, ","")&amp;IF($D18="","veículo, ","")&amp;IF($I18="","tom, ","")&amp;IF($J18="","link, ","")&amp;IF($G18="","alcance, ",""))=0,"OK","Falta "&amp;LEFT(IF($F18="","título, ","")&amp;IF($D18="","veículo, ","")&amp;IF($I18="","tom, ","")&amp;IF($J18="","link, ","")&amp;IF($G18="","alcance, ",""),LEN(IF($F18="","título, ","")&amp;IF($D18="","veículo, ","")&amp;IF($I18="","tom, ","")&amp;IF($J18="","link, ","")&amp;IF($G18="","alcance, ",""))-2)))</f>
        <v/>
      </c>
      <c r="M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8"/>
      <c r="G19" s="42"/>
      <c r="H19" s="42"/>
      <c r="I19" s="38"/>
      <c r="J19" s="38"/>
      <c r="K19" s="38"/>
      <c r="L19" s="40" t="str">
        <f aca="false">IF($A19="","",IF(LEN(IF($F19="","título, ","")&amp;IF($D19="","veículo, ","")&amp;IF($I19="","tom, ","")&amp;IF($J19="","link, ","")&amp;IF($G19="","alcance, ",""))=0,"OK","Falta "&amp;LEFT(IF($F19="","título, ","")&amp;IF($D19="","veículo, ","")&amp;IF($I19="","tom, ","")&amp;IF($J19="","link, ","")&amp;IF($G19="","alcance, ",""),LEN(IF($F19="","título, ","")&amp;IF($D19="","veículo, ","")&amp;IF($I19="","tom, ","")&amp;IF($J19="","link, ","")&amp;IF($G19="","alcance, ",""))-2)))</f>
        <v/>
      </c>
      <c r="M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8"/>
      <c r="G20" s="42"/>
      <c r="H20" s="42"/>
      <c r="I20" s="38"/>
      <c r="J20" s="38"/>
      <c r="K20" s="38"/>
      <c r="L20" s="40" t="str">
        <f aca="false">IF($A20="","",IF(LEN(IF($F20="","título, ","")&amp;IF($D20="","veículo, ","")&amp;IF($I20="","tom, ","")&amp;IF($J20="","link, ","")&amp;IF($G20="","alcance, ",""))=0,"OK","Falta "&amp;LEFT(IF($F20="","título, ","")&amp;IF($D20="","veículo, ","")&amp;IF($I20="","tom, ","")&amp;IF($J20="","link, ","")&amp;IF($G20="","alcance, ",""),LEN(IF($F20="","título, ","")&amp;IF($D20="","veículo, ","")&amp;IF($I20="","tom, ","")&amp;IF($J20="","link, ","")&amp;IF($G20="","alcance, ",""))-2)))</f>
        <v/>
      </c>
      <c r="M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8"/>
      <c r="G21" s="42"/>
      <c r="H21" s="42"/>
      <c r="I21" s="38"/>
      <c r="J21" s="38"/>
      <c r="K21" s="38"/>
      <c r="L21" s="40" t="str">
        <f aca="false">IF($A21="","",IF(LEN(IF($F21="","título, ","")&amp;IF($D21="","veículo, ","")&amp;IF($I21="","tom, ","")&amp;IF($J21="","link, ","")&amp;IF($G21="","alcance, ",""))=0,"OK","Falta "&amp;LEFT(IF($F21="","título, ","")&amp;IF($D21="","veículo, ","")&amp;IF($I21="","tom, ","")&amp;IF($J21="","link, ","")&amp;IF($G21="","alcance, ",""),LEN(IF($F21="","título, ","")&amp;IF($D21="","veículo, ","")&amp;IF($I21="","tom, ","")&amp;IF($J21="","link, ","")&amp;IF($G21="","alcance, ",""))-2)))</f>
        <v/>
      </c>
      <c r="M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8"/>
      <c r="G22" s="42"/>
      <c r="H22" s="42"/>
      <c r="I22" s="38"/>
      <c r="J22" s="38"/>
      <c r="K22" s="38"/>
      <c r="L22" s="40" t="str">
        <f aca="false">IF($A22="","",IF(LEN(IF($F22="","título, ","")&amp;IF($D22="","veículo, ","")&amp;IF($I22="","tom, ","")&amp;IF($J22="","link, ","")&amp;IF($G22="","alcance, ",""))=0,"OK","Falta "&amp;LEFT(IF($F22="","título, ","")&amp;IF($D22="","veículo, ","")&amp;IF($I22="","tom, ","")&amp;IF($J22="","link, ","")&amp;IF($G22="","alcance, ",""),LEN(IF($F22="","título, ","")&amp;IF($D22="","veículo, ","")&amp;IF($I22="","tom, ","")&amp;IF($J22="","link, ","")&amp;IF($G22="","alcance, ",""))-2)))</f>
        <v/>
      </c>
      <c r="M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8"/>
      <c r="G23" s="42"/>
      <c r="H23" s="42"/>
      <c r="I23" s="38"/>
      <c r="J23" s="38"/>
      <c r="K23" s="38"/>
      <c r="L23" s="40" t="str">
        <f aca="false">IF($A23="","",IF(LEN(IF($F23="","título, ","")&amp;IF($D23="","veículo, ","")&amp;IF($I23="","tom, ","")&amp;IF($J23="","link, ","")&amp;IF($G23="","alcance, ",""))=0,"OK","Falta "&amp;LEFT(IF($F23="","título, ","")&amp;IF($D23="","veículo, ","")&amp;IF($I23="","tom, ","")&amp;IF($J23="","link, ","")&amp;IF($G23="","alcance, ",""),LEN(IF($F23="","título, ","")&amp;IF($D23="","veículo, ","")&amp;IF($I23="","tom, ","")&amp;IF($J23="","link, ","")&amp;IF($G23="","alcance, ",""))-2)))</f>
        <v/>
      </c>
      <c r="M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8"/>
      <c r="G24" s="42"/>
      <c r="H24" s="42"/>
      <c r="I24" s="38"/>
      <c r="J24" s="38"/>
      <c r="K24" s="38"/>
      <c r="L24" s="40" t="str">
        <f aca="false">IF($A24="","",IF(LEN(IF($F24="","título, ","")&amp;IF($D24="","veículo, ","")&amp;IF($I24="","tom, ","")&amp;IF($J24="","link, ","")&amp;IF($G24="","alcance, ",""))=0,"OK","Falta "&amp;LEFT(IF($F24="","título, ","")&amp;IF($D24="","veículo, ","")&amp;IF($I24="","tom, ","")&amp;IF($J24="","link, ","")&amp;IF($G24="","alcance, ",""),LEN(IF($F24="","título, ","")&amp;IF($D24="","veículo, ","")&amp;IF($I24="","tom, ","")&amp;IF($J24="","link, ","")&amp;IF($G24="","alcance, ",""))-2)))</f>
        <v/>
      </c>
      <c r="M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8"/>
      <c r="G25" s="42"/>
      <c r="H25" s="42"/>
      <c r="I25" s="38"/>
      <c r="J25" s="38"/>
      <c r="K25" s="38"/>
      <c r="L25" s="40" t="str">
        <f aca="false">IF($A25="","",IF(LEN(IF($F25="","título, ","")&amp;IF($D25="","veículo, ","")&amp;IF($I25="","tom, ","")&amp;IF($J25="","link, ","")&amp;IF($G25="","alcance, ",""))=0,"OK","Falta "&amp;LEFT(IF($F25="","título, ","")&amp;IF($D25="","veículo, ","")&amp;IF($I25="","tom, ","")&amp;IF($J25="","link, ","")&amp;IF($G25="","alcance, ",""),LEN(IF($F25="","título, ","")&amp;IF($D25="","veículo, ","")&amp;IF($I25="","tom, ","")&amp;IF($J25="","link, ","")&amp;IF($G25="","alcance, ",""))-2)))</f>
        <v/>
      </c>
      <c r="M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8"/>
      <c r="G26" s="42"/>
      <c r="H26" s="42"/>
      <c r="I26" s="38"/>
      <c r="J26" s="38"/>
      <c r="K26" s="38"/>
      <c r="L26" s="40" t="str">
        <f aca="false">IF($A26="","",IF(LEN(IF($F26="","título, ","")&amp;IF($D26="","veículo, ","")&amp;IF($I26="","tom, ","")&amp;IF($J26="","link, ","")&amp;IF($G26="","alcance, ",""))=0,"OK","Falta "&amp;LEFT(IF($F26="","título, ","")&amp;IF($D26="","veículo, ","")&amp;IF($I26="","tom, ","")&amp;IF($J26="","link, ","")&amp;IF($G26="","alcance, ",""),LEN(IF($F26="","título, ","")&amp;IF($D26="","veículo, ","")&amp;IF($I26="","tom, ","")&amp;IF($J26="","link, ","")&amp;IF($G26="","alcance, ",""))-2)))</f>
        <v/>
      </c>
      <c r="M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8"/>
      <c r="G27" s="42"/>
      <c r="H27" s="42"/>
      <c r="I27" s="38"/>
      <c r="J27" s="38"/>
      <c r="K27" s="38"/>
      <c r="L27" s="40" t="str">
        <f aca="false">IF($A27="","",IF(LEN(IF($F27="","título, ","")&amp;IF($D27="","veículo, ","")&amp;IF($I27="","tom, ","")&amp;IF($J27="","link, ","")&amp;IF($G27="","alcance, ",""))=0,"OK","Falta "&amp;LEFT(IF($F27="","título, ","")&amp;IF($D27="","veículo, ","")&amp;IF($I27="","tom, ","")&amp;IF($J27="","link, ","")&amp;IF($G27="","alcance, ",""),LEN(IF($F27="","título, ","")&amp;IF($D27="","veículo, ","")&amp;IF($I27="","tom, ","")&amp;IF($J27="","link, ","")&amp;IF($G27="","alcance, ",""))-2)))</f>
        <v/>
      </c>
      <c r="M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8"/>
      <c r="G28" s="42"/>
      <c r="H28" s="42"/>
      <c r="I28" s="38"/>
      <c r="J28" s="38"/>
      <c r="K28" s="38"/>
      <c r="L28" s="40" t="str">
        <f aca="false">IF($A28="","",IF(LEN(IF($F28="","título, ","")&amp;IF($D28="","veículo, ","")&amp;IF($I28="","tom, ","")&amp;IF($J28="","link, ","")&amp;IF($G28="","alcance, ",""))=0,"OK","Falta "&amp;LEFT(IF($F28="","título, ","")&amp;IF($D28="","veículo, ","")&amp;IF($I28="","tom, ","")&amp;IF($J28="","link, ","")&amp;IF($G28="","alcance, ",""),LEN(IF($F28="","título, ","")&amp;IF($D28="","veículo, ","")&amp;IF($I28="","tom, ","")&amp;IF($J28="","link, ","")&amp;IF($G28="","alcance, ",""))-2)))</f>
        <v/>
      </c>
      <c r="M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8"/>
      <c r="G29" s="42"/>
      <c r="H29" s="42"/>
      <c r="I29" s="38"/>
      <c r="J29" s="38"/>
      <c r="K29" s="38"/>
      <c r="L29" s="40" t="str">
        <f aca="false">IF($A29="","",IF(LEN(IF($F29="","título, ","")&amp;IF($D29="","veículo, ","")&amp;IF($I29="","tom, ","")&amp;IF($J29="","link, ","")&amp;IF($G29="","alcance, ",""))=0,"OK","Falta "&amp;LEFT(IF($F29="","título, ","")&amp;IF($D29="","veículo, ","")&amp;IF($I29="","tom, ","")&amp;IF($J29="","link, ","")&amp;IF($G29="","alcance, ",""),LEN(IF($F29="","título, ","")&amp;IF($D29="","veículo, ","")&amp;IF($I29="","tom, ","")&amp;IF($J29="","link, ","")&amp;IF($G29="","alcance, ",""))-2)))</f>
        <v/>
      </c>
      <c r="M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8"/>
      <c r="G30" s="42"/>
      <c r="H30" s="42"/>
      <c r="I30" s="38"/>
      <c r="J30" s="38"/>
      <c r="K30" s="38"/>
      <c r="L30" s="40" t="str">
        <f aca="false">IF($A30="","",IF(LEN(IF($F30="","título, ","")&amp;IF($D30="","veículo, ","")&amp;IF($I30="","tom, ","")&amp;IF($J30="","link, ","")&amp;IF($G30="","alcance, ",""))=0,"OK","Falta "&amp;LEFT(IF($F30="","título, ","")&amp;IF($D30="","veículo, ","")&amp;IF($I30="","tom, ","")&amp;IF($J30="","link, ","")&amp;IF($G30="","alcance, ",""),LEN(IF($F30="","título, ","")&amp;IF($D30="","veículo, ","")&amp;IF($I30="","tom, ","")&amp;IF($J30="","link, ","")&amp;IF($G30="","alcance, ",""))-2)))</f>
        <v/>
      </c>
      <c r="M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8"/>
      <c r="G31" s="42"/>
      <c r="H31" s="42"/>
      <c r="I31" s="38"/>
      <c r="J31" s="38"/>
      <c r="K31" s="38"/>
      <c r="L31" s="40" t="str">
        <f aca="false">IF($A31="","",IF(LEN(IF($F31="","título, ","")&amp;IF($D31="","veículo, ","")&amp;IF($I31="","tom, ","")&amp;IF($J31="","link, ","")&amp;IF($G31="","alcance, ",""))=0,"OK","Falta "&amp;LEFT(IF($F31="","título, ","")&amp;IF($D31="","veículo, ","")&amp;IF($I31="","tom, ","")&amp;IF($J31="","link, ","")&amp;IF($G31="","alcance, ",""),LEN(IF($F31="","título, ","")&amp;IF($D31="","veículo, ","")&amp;IF($I31="","tom, ","")&amp;IF($J31="","link, ","")&amp;IF($G31="","alcance, ",""))-2)))</f>
        <v/>
      </c>
      <c r="M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8"/>
      <c r="G32" s="42"/>
      <c r="H32" s="42"/>
      <c r="I32" s="38"/>
      <c r="J32" s="38"/>
      <c r="K32" s="38"/>
      <c r="L32" s="40" t="str">
        <f aca="false">IF($A32="","",IF(LEN(IF($F32="","título, ","")&amp;IF($D32="","veículo, ","")&amp;IF($I32="","tom, ","")&amp;IF($J32="","link, ","")&amp;IF($G32="","alcance, ",""))=0,"OK","Falta "&amp;LEFT(IF($F32="","título, ","")&amp;IF($D32="","veículo, ","")&amp;IF($I32="","tom, ","")&amp;IF($J32="","link, ","")&amp;IF($G32="","alcance, ",""),LEN(IF($F32="","título, ","")&amp;IF($D32="","veículo, ","")&amp;IF($I32="","tom, ","")&amp;IF($J32="","link, ","")&amp;IF($G32="","alcance, ",""))-2)))</f>
        <v/>
      </c>
      <c r="M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8"/>
      <c r="G33" s="42"/>
      <c r="H33" s="42"/>
      <c r="I33" s="38"/>
      <c r="J33" s="38"/>
      <c r="K33" s="38"/>
      <c r="L33" s="40" t="str">
        <f aca="false">IF($A33="","",IF(LEN(IF($F33="","título, ","")&amp;IF($D33="","veículo, ","")&amp;IF($I33="","tom, ","")&amp;IF($J33="","link, ","")&amp;IF($G33="","alcance, ",""))=0,"OK","Falta "&amp;LEFT(IF($F33="","título, ","")&amp;IF($D33="","veículo, ","")&amp;IF($I33="","tom, ","")&amp;IF($J33="","link, ","")&amp;IF($G33="","alcance, ",""),LEN(IF($F33="","título, ","")&amp;IF($D33="","veículo, ","")&amp;IF($I33="","tom, ","")&amp;IF($J33="","link, ","")&amp;IF($G33="","alcance, ",""))-2)))</f>
        <v/>
      </c>
      <c r="M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8"/>
      <c r="G34" s="42"/>
      <c r="H34" s="42"/>
      <c r="I34" s="38"/>
      <c r="J34" s="38"/>
      <c r="K34" s="38"/>
      <c r="L34" s="40" t="str">
        <f aca="false">IF($A34="","",IF(LEN(IF($F34="","título, ","")&amp;IF($D34="","veículo, ","")&amp;IF($I34="","tom, ","")&amp;IF($J34="","link, ","")&amp;IF($G34="","alcance, ",""))=0,"OK","Falta "&amp;LEFT(IF($F34="","título, ","")&amp;IF($D34="","veículo, ","")&amp;IF($I34="","tom, ","")&amp;IF($J34="","link, ","")&amp;IF($G34="","alcance, ",""),LEN(IF($F34="","título, ","")&amp;IF($D34="","veículo, ","")&amp;IF($I34="","tom, ","")&amp;IF($J34="","link, ","")&amp;IF($G34="","alcance, ",""))-2)))</f>
        <v/>
      </c>
      <c r="M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8"/>
      <c r="G35" s="42"/>
      <c r="H35" s="42"/>
      <c r="I35" s="38"/>
      <c r="J35" s="38"/>
      <c r="K35" s="38"/>
      <c r="L35" s="40" t="str">
        <f aca="false">IF($A35="","",IF(LEN(IF($F35="","título, ","")&amp;IF($D35="","veículo, ","")&amp;IF($I35="","tom, ","")&amp;IF($J35="","link, ","")&amp;IF($G35="","alcance, ",""))=0,"OK","Falta "&amp;LEFT(IF($F35="","título, ","")&amp;IF($D35="","veículo, ","")&amp;IF($I35="","tom, ","")&amp;IF($J35="","link, ","")&amp;IF($G35="","alcance, ",""),LEN(IF($F35="","título, ","")&amp;IF($D35="","veículo, ","")&amp;IF($I35="","tom, ","")&amp;IF($J35="","link, ","")&amp;IF($G35="","alcance, ",""))-2)))</f>
        <v/>
      </c>
      <c r="M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8"/>
      <c r="G36" s="42"/>
      <c r="H36" s="42"/>
      <c r="I36" s="38"/>
      <c r="J36" s="38"/>
      <c r="K36" s="38"/>
      <c r="L36" s="40" t="str">
        <f aca="false">IF($A36="","",IF(LEN(IF($F36="","título, ","")&amp;IF($D36="","veículo, ","")&amp;IF($I36="","tom, ","")&amp;IF($J36="","link, ","")&amp;IF($G36="","alcance, ",""))=0,"OK","Falta "&amp;LEFT(IF($F36="","título, ","")&amp;IF($D36="","veículo, ","")&amp;IF($I36="","tom, ","")&amp;IF($J36="","link, ","")&amp;IF($G36="","alcance, ",""),LEN(IF($F36="","título, ","")&amp;IF($D36="","veículo, ","")&amp;IF($I36="","tom, ","")&amp;IF($J36="","link, ","")&amp;IF($G36="","alcance, ",""))-2)))</f>
        <v/>
      </c>
      <c r="M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8"/>
      <c r="G37" s="42"/>
      <c r="H37" s="42"/>
      <c r="I37" s="38"/>
      <c r="J37" s="38"/>
      <c r="K37" s="38"/>
      <c r="L37" s="40" t="str">
        <f aca="false">IF($A37="","",IF(LEN(IF($F37="","título, ","")&amp;IF($D37="","veículo, ","")&amp;IF($I37="","tom, ","")&amp;IF($J37="","link, ","")&amp;IF($G37="","alcance, ",""))=0,"OK","Falta "&amp;LEFT(IF($F37="","título, ","")&amp;IF($D37="","veículo, ","")&amp;IF($I37="","tom, ","")&amp;IF($J37="","link, ","")&amp;IF($G37="","alcance, ",""),LEN(IF($F37="","título, ","")&amp;IF($D37="","veículo, ","")&amp;IF($I37="","tom, ","")&amp;IF($J37="","link, ","")&amp;IF($G37="","alcance, ",""))-2)))</f>
        <v/>
      </c>
      <c r="M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8"/>
      <c r="G38" s="42"/>
      <c r="H38" s="42"/>
      <c r="I38" s="38"/>
      <c r="J38" s="38"/>
      <c r="K38" s="38"/>
      <c r="L38" s="40" t="str">
        <f aca="false">IF($A38="","",IF(LEN(IF($F38="","título, ","")&amp;IF($D38="","veículo, ","")&amp;IF($I38="","tom, ","")&amp;IF($J38="","link, ","")&amp;IF($G38="","alcance, ",""))=0,"OK","Falta "&amp;LEFT(IF($F38="","título, ","")&amp;IF($D38="","veículo, ","")&amp;IF($I38="","tom, ","")&amp;IF($J38="","link, ","")&amp;IF($G38="","alcance, ",""),LEN(IF($F38="","título, ","")&amp;IF($D38="","veículo, ","")&amp;IF($I38="","tom, ","")&amp;IF($J38="","link, ","")&amp;IF($G38="","alcance, ",""))-2)))</f>
        <v/>
      </c>
      <c r="M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8"/>
      <c r="G39" s="42"/>
      <c r="H39" s="42"/>
      <c r="I39" s="38"/>
      <c r="J39" s="38"/>
      <c r="K39" s="38"/>
      <c r="L39" s="40" t="str">
        <f aca="false">IF($A39="","",IF(LEN(IF($F39="","título, ","")&amp;IF($D39="","veículo, ","")&amp;IF($I39="","tom, ","")&amp;IF($J39="","link, ","")&amp;IF($G39="","alcance, ",""))=0,"OK","Falta "&amp;LEFT(IF($F39="","título, ","")&amp;IF($D39="","veículo, ","")&amp;IF($I39="","tom, ","")&amp;IF($J39="","link, ","")&amp;IF($G39="","alcance, ",""),LEN(IF($F39="","título, ","")&amp;IF($D39="","veículo, ","")&amp;IF($I39="","tom, ","")&amp;IF($J39="","link, ","")&amp;IF($G39="","alcance, ",""))-2)))</f>
        <v/>
      </c>
      <c r="M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8"/>
      <c r="G40" s="42"/>
      <c r="H40" s="42"/>
      <c r="I40" s="38"/>
      <c r="J40" s="38"/>
      <c r="K40" s="38"/>
      <c r="L40" s="40" t="str">
        <f aca="false">IF($A40="","",IF(LEN(IF($F40="","título, ","")&amp;IF($D40="","veículo, ","")&amp;IF($I40="","tom, ","")&amp;IF($J40="","link, ","")&amp;IF($G40="","alcance, ",""))=0,"OK","Falta "&amp;LEFT(IF($F40="","título, ","")&amp;IF($D40="","veículo, ","")&amp;IF($I40="","tom, ","")&amp;IF($J40="","link, ","")&amp;IF($G40="","alcance, ",""),LEN(IF($F40="","título, ","")&amp;IF($D40="","veículo, ","")&amp;IF($I40="","tom, ","")&amp;IF($J40="","link, ","")&amp;IF($G40="","alcance, ",""))-2)))</f>
        <v/>
      </c>
      <c r="M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8"/>
      <c r="G41" s="42"/>
      <c r="H41" s="42"/>
      <c r="I41" s="38"/>
      <c r="J41" s="38"/>
      <c r="K41" s="38"/>
      <c r="L41" s="40" t="str">
        <f aca="false">IF($A41="","",IF(LEN(IF($F41="","título, ","")&amp;IF($D41="","veículo, ","")&amp;IF($I41="","tom, ","")&amp;IF($J41="","link, ","")&amp;IF($G41="","alcance, ",""))=0,"OK","Falta "&amp;LEFT(IF($F41="","título, ","")&amp;IF($D41="","veículo, ","")&amp;IF($I41="","tom, ","")&amp;IF($J41="","link, ","")&amp;IF($G41="","alcance, ",""),LEN(IF($F41="","título, ","")&amp;IF($D41="","veículo, ","")&amp;IF($I41="","tom, ","")&amp;IF($J41="","link, ","")&amp;IF($G41="","alcance, ",""))-2)))</f>
        <v/>
      </c>
      <c r="M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8"/>
      <c r="G42" s="42"/>
      <c r="H42" s="42"/>
      <c r="I42" s="38"/>
      <c r="J42" s="38"/>
      <c r="K42" s="38"/>
      <c r="L42" s="40" t="str">
        <f aca="false">IF($A42="","",IF(LEN(IF($F42="","título, ","")&amp;IF($D42="","veículo, ","")&amp;IF($I42="","tom, ","")&amp;IF($J42="","link, ","")&amp;IF($G42="","alcance, ",""))=0,"OK","Falta "&amp;LEFT(IF($F42="","título, ","")&amp;IF($D42="","veículo, ","")&amp;IF($I42="","tom, ","")&amp;IF($J42="","link, ","")&amp;IF($G42="","alcance, ",""),LEN(IF($F42="","título, ","")&amp;IF($D42="","veículo, ","")&amp;IF($I42="","tom, ","")&amp;IF($J42="","link, ","")&amp;IF($G42="","alcance, ",""))-2)))</f>
        <v/>
      </c>
      <c r="M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8"/>
      <c r="G43" s="42"/>
      <c r="H43" s="42"/>
      <c r="I43" s="38"/>
      <c r="J43" s="38"/>
      <c r="K43" s="38"/>
      <c r="L43" s="40" t="str">
        <f aca="false">IF($A43="","",IF(LEN(IF($F43="","título, ","")&amp;IF($D43="","veículo, ","")&amp;IF($I43="","tom, ","")&amp;IF($J43="","link, ","")&amp;IF($G43="","alcance, ",""))=0,"OK","Falta "&amp;LEFT(IF($F43="","título, ","")&amp;IF($D43="","veículo, ","")&amp;IF($I43="","tom, ","")&amp;IF($J43="","link, ","")&amp;IF($G43="","alcance, ",""),LEN(IF($F43="","título, ","")&amp;IF($D43="","veículo, ","")&amp;IF($I43="","tom, ","")&amp;IF($J43="","link, ","")&amp;IF($G43="","alcance, ",""))-2)))</f>
        <v/>
      </c>
      <c r="M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8"/>
      <c r="G44" s="42"/>
      <c r="H44" s="42"/>
      <c r="I44" s="38"/>
      <c r="J44" s="38"/>
      <c r="K44" s="38"/>
      <c r="L44" s="40" t="str">
        <f aca="false">IF($A44="","",IF(LEN(IF($F44="","título, ","")&amp;IF($D44="","veículo, ","")&amp;IF($I44="","tom, ","")&amp;IF($J44="","link, ","")&amp;IF($G44="","alcance, ",""))=0,"OK","Falta "&amp;LEFT(IF($F44="","título, ","")&amp;IF($D44="","veículo, ","")&amp;IF($I44="","tom, ","")&amp;IF($J44="","link, ","")&amp;IF($G44="","alcance, ",""),LEN(IF($F44="","título, ","")&amp;IF($D44="","veículo, ","")&amp;IF($I44="","tom, ","")&amp;IF($J44="","link, ","")&amp;IF($G44="","alcance, ",""))-2)))</f>
        <v/>
      </c>
      <c r="M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8"/>
      <c r="G45" s="42"/>
      <c r="H45" s="42"/>
      <c r="I45" s="38"/>
      <c r="J45" s="38"/>
      <c r="K45" s="38"/>
      <c r="L45" s="40" t="str">
        <f aca="false">IF($A45="","",IF(LEN(IF($F45="","título, ","")&amp;IF($D45="","veículo, ","")&amp;IF($I45="","tom, ","")&amp;IF($J45="","link, ","")&amp;IF($G45="","alcance, ",""))=0,"OK","Falta "&amp;LEFT(IF($F45="","título, ","")&amp;IF($D45="","veículo, ","")&amp;IF($I45="","tom, ","")&amp;IF($J45="","link, ","")&amp;IF($G45="","alcance, ",""),LEN(IF($F45="","título, ","")&amp;IF($D45="","veículo, ","")&amp;IF($I45="","tom, ","")&amp;IF($J45="","link, ","")&amp;IF($G45="","alcance, ",""))-2)))</f>
        <v/>
      </c>
      <c r="M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8"/>
      <c r="G46" s="42"/>
      <c r="H46" s="42"/>
      <c r="I46" s="38"/>
      <c r="J46" s="38"/>
      <c r="K46" s="38"/>
      <c r="L46" s="40" t="str">
        <f aca="false">IF($A46="","",IF(LEN(IF($F46="","título, ","")&amp;IF($D46="","veículo, ","")&amp;IF($I46="","tom, ","")&amp;IF($J46="","link, ","")&amp;IF($G46="","alcance, ",""))=0,"OK","Falta "&amp;LEFT(IF($F46="","título, ","")&amp;IF($D46="","veículo, ","")&amp;IF($I46="","tom, ","")&amp;IF($J46="","link, ","")&amp;IF($G46="","alcance, ",""),LEN(IF($F46="","título, ","")&amp;IF($D46="","veículo, ","")&amp;IF($I46="","tom, ","")&amp;IF($J46="","link, ","")&amp;IF($G46="","alcance, ",""))-2)))</f>
        <v/>
      </c>
      <c r="M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8"/>
      <c r="G47" s="42"/>
      <c r="H47" s="42"/>
      <c r="I47" s="38"/>
      <c r="J47" s="38"/>
      <c r="K47" s="38"/>
      <c r="L47" s="40" t="str">
        <f aca="false">IF($A47="","",IF(LEN(IF($F47="","título, ","")&amp;IF($D47="","veículo, ","")&amp;IF($I47="","tom, ","")&amp;IF($J47="","link, ","")&amp;IF($G47="","alcance, ",""))=0,"OK","Falta "&amp;LEFT(IF($F47="","título, ","")&amp;IF($D47="","veículo, ","")&amp;IF($I47="","tom, ","")&amp;IF($J47="","link, ","")&amp;IF($G47="","alcance, ",""),LEN(IF($F47="","título, ","")&amp;IF($D47="","veículo, ","")&amp;IF($I47="","tom, ","")&amp;IF($J47="","link, ","")&amp;IF($G47="","alcance, ",""))-2)))</f>
        <v/>
      </c>
      <c r="M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8"/>
      <c r="G48" s="42"/>
      <c r="H48" s="42"/>
      <c r="I48" s="38"/>
      <c r="J48" s="38"/>
      <c r="K48" s="38"/>
      <c r="L48" s="40" t="str">
        <f aca="false">IF($A48="","",IF(LEN(IF($F48="","título, ","")&amp;IF($D48="","veículo, ","")&amp;IF($I48="","tom, ","")&amp;IF($J48="","link, ","")&amp;IF($G48="","alcance, ",""))=0,"OK","Falta "&amp;LEFT(IF($F48="","título, ","")&amp;IF($D48="","veículo, ","")&amp;IF($I48="","tom, ","")&amp;IF($J48="","link, ","")&amp;IF($G48="","alcance, ",""),LEN(IF($F48="","título, ","")&amp;IF($D48="","veículo, ","")&amp;IF($I48="","tom, ","")&amp;IF($J48="","link, ","")&amp;IF($G48="","alcance, ",""))-2)))</f>
        <v/>
      </c>
      <c r="M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8"/>
      <c r="G49" s="42"/>
      <c r="H49" s="42"/>
      <c r="I49" s="38"/>
      <c r="J49" s="38"/>
      <c r="K49" s="38"/>
      <c r="L49" s="40" t="str">
        <f aca="false">IF($A49="","",IF(LEN(IF($F49="","título, ","")&amp;IF($D49="","veículo, ","")&amp;IF($I49="","tom, ","")&amp;IF($J49="","link, ","")&amp;IF($G49="","alcance, ",""))=0,"OK","Falta "&amp;LEFT(IF($F49="","título, ","")&amp;IF($D49="","veículo, ","")&amp;IF($I49="","tom, ","")&amp;IF($J49="","link, ","")&amp;IF($G49="","alcance, ",""),LEN(IF($F49="","título, ","")&amp;IF($D49="","veículo, ","")&amp;IF($I49="","tom, ","")&amp;IF($J49="","link, ","")&amp;IF($G49="","alcance, ",""))-2)))</f>
        <v/>
      </c>
      <c r="M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8"/>
      <c r="G50" s="42"/>
      <c r="H50" s="42"/>
      <c r="I50" s="38"/>
      <c r="J50" s="38"/>
      <c r="K50" s="38"/>
      <c r="L50" s="40" t="str">
        <f aca="false">IF($A50="","",IF(LEN(IF($F50="","título, ","")&amp;IF($D50="","veículo, ","")&amp;IF($I50="","tom, ","")&amp;IF($J50="","link, ","")&amp;IF($G50="","alcance, ",""))=0,"OK","Falta "&amp;LEFT(IF($F50="","título, ","")&amp;IF($D50="","veículo, ","")&amp;IF($I50="","tom, ","")&amp;IF($J50="","link, ","")&amp;IF($G50="","alcance, ",""),LEN(IF($F50="","título, ","")&amp;IF($D50="","veículo, ","")&amp;IF($I50="","tom, ","")&amp;IF($J50="","link, ","")&amp;IF($G50="","alcance, ",""))-2)))</f>
        <v/>
      </c>
      <c r="M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8"/>
      <c r="G51" s="42"/>
      <c r="H51" s="42"/>
      <c r="I51" s="38"/>
      <c r="J51" s="38"/>
      <c r="K51" s="38"/>
      <c r="L51" s="40" t="str">
        <f aca="false">IF($A51="","",IF(LEN(IF($F51="","título, ","")&amp;IF($D51="","veículo, ","")&amp;IF($I51="","tom, ","")&amp;IF($J51="","link, ","")&amp;IF($G51="","alcance, ",""))=0,"OK","Falta "&amp;LEFT(IF($F51="","título, ","")&amp;IF($D51="","veículo, ","")&amp;IF($I51="","tom, ","")&amp;IF($J51="","link, ","")&amp;IF($G51="","alcance, ",""),LEN(IF($F51="","título, ","")&amp;IF($D51="","veículo, ","")&amp;IF($I51="","tom, ","")&amp;IF($J51="","link, ","")&amp;IF($G51="","alcance, ",""))-2)))</f>
        <v/>
      </c>
      <c r="M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8"/>
      <c r="G52" s="42"/>
      <c r="H52" s="42"/>
      <c r="I52" s="38"/>
      <c r="J52" s="38"/>
      <c r="K52" s="38"/>
      <c r="L52" s="40" t="str">
        <f aca="false">IF($A52="","",IF(LEN(IF($F52="","título, ","")&amp;IF($D52="","veículo, ","")&amp;IF($I52="","tom, ","")&amp;IF($J52="","link, ","")&amp;IF($G52="","alcance, ",""))=0,"OK","Falta "&amp;LEFT(IF($F52="","título, ","")&amp;IF($D52="","veículo, ","")&amp;IF($I52="","tom, ","")&amp;IF($J52="","link, ","")&amp;IF($G52="","alcance, ",""),LEN(IF($F52="","título, ","")&amp;IF($D52="","veículo, ","")&amp;IF($I52="","tom, ","")&amp;IF($J52="","link, ","")&amp;IF($G52="","alcance, ",""))-2)))</f>
        <v/>
      </c>
      <c r="M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8"/>
      <c r="G53" s="42"/>
      <c r="H53" s="42"/>
      <c r="I53" s="38"/>
      <c r="J53" s="38"/>
      <c r="K53" s="38"/>
      <c r="L53" s="40" t="str">
        <f aca="false">IF($A53="","",IF(LEN(IF($F53="","título, ","")&amp;IF($D53="","veículo, ","")&amp;IF($I53="","tom, ","")&amp;IF($J53="","link, ","")&amp;IF($G53="","alcance, ",""))=0,"OK","Falta "&amp;LEFT(IF($F53="","título, ","")&amp;IF($D53="","veículo, ","")&amp;IF($I53="","tom, ","")&amp;IF($J53="","link, ","")&amp;IF($G53="","alcance, ",""),LEN(IF($F53="","título, ","")&amp;IF($D53="","veículo, ","")&amp;IF($I53="","tom, ","")&amp;IF($J53="","link, ","")&amp;IF($G53="","alcance, ",""))-2)))</f>
        <v/>
      </c>
      <c r="M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8"/>
      <c r="G54" s="42"/>
      <c r="H54" s="42"/>
      <c r="I54" s="38"/>
      <c r="J54" s="38"/>
      <c r="K54" s="38"/>
      <c r="L54" s="40" t="str">
        <f aca="false">IF($A54="","",IF(LEN(IF($F54="","título, ","")&amp;IF($D54="","veículo, ","")&amp;IF($I54="","tom, ","")&amp;IF($J54="","link, ","")&amp;IF($G54="","alcance, ",""))=0,"OK","Falta "&amp;LEFT(IF($F54="","título, ","")&amp;IF($D54="","veículo, ","")&amp;IF($I54="","tom, ","")&amp;IF($J54="","link, ","")&amp;IF($G54="","alcance, ",""),LEN(IF($F54="","título, ","")&amp;IF($D54="","veículo, ","")&amp;IF($I54="","tom, ","")&amp;IF($J54="","link, ","")&amp;IF($G54="","alcance, ",""))-2)))</f>
        <v/>
      </c>
      <c r="M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8"/>
      <c r="G55" s="42"/>
      <c r="H55" s="42"/>
      <c r="I55" s="38"/>
      <c r="J55" s="38"/>
      <c r="K55" s="38"/>
      <c r="L55" s="40" t="str">
        <f aca="false">IF($A55="","",IF(LEN(IF($F55="","título, ","")&amp;IF($D55="","veículo, ","")&amp;IF($I55="","tom, ","")&amp;IF($J55="","link, ","")&amp;IF($G55="","alcance, ",""))=0,"OK","Falta "&amp;LEFT(IF($F55="","título, ","")&amp;IF($D55="","veículo, ","")&amp;IF($I55="","tom, ","")&amp;IF($J55="","link, ","")&amp;IF($G55="","alcance, ",""),LEN(IF($F55="","título, ","")&amp;IF($D55="","veículo, ","")&amp;IF($I55="","tom, ","")&amp;IF($J55="","link, ","")&amp;IF($G55="","alcance, ",""))-2)))</f>
        <v/>
      </c>
      <c r="M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8"/>
      <c r="G56" s="42"/>
      <c r="H56" s="42"/>
      <c r="I56" s="38"/>
      <c r="J56" s="38"/>
      <c r="K56" s="38"/>
      <c r="L56" s="40" t="str">
        <f aca="false">IF($A56="","",IF(LEN(IF($F56="","título, ","")&amp;IF($D56="","veículo, ","")&amp;IF($I56="","tom, ","")&amp;IF($J56="","link, ","")&amp;IF($G56="","alcance, ",""))=0,"OK","Falta "&amp;LEFT(IF($F56="","título, ","")&amp;IF($D56="","veículo, ","")&amp;IF($I56="","tom, ","")&amp;IF($J56="","link, ","")&amp;IF($G56="","alcance, ",""),LEN(IF($F56="","título, ","")&amp;IF($D56="","veículo, ","")&amp;IF($I56="","tom, ","")&amp;IF($J56="","link, ","")&amp;IF($G56="","alcance, ",""))-2)))</f>
        <v/>
      </c>
      <c r="M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8"/>
      <c r="G57" s="42"/>
      <c r="H57" s="42"/>
      <c r="I57" s="38"/>
      <c r="J57" s="38"/>
      <c r="K57" s="38"/>
      <c r="L57" s="40" t="str">
        <f aca="false">IF($A57="","",IF(LEN(IF($F57="","título, ","")&amp;IF($D57="","veículo, ","")&amp;IF($I57="","tom, ","")&amp;IF($J57="","link, ","")&amp;IF($G57="","alcance, ",""))=0,"OK","Falta "&amp;LEFT(IF($F57="","título, ","")&amp;IF($D57="","veículo, ","")&amp;IF($I57="","tom, ","")&amp;IF($J57="","link, ","")&amp;IF($G57="","alcance, ",""),LEN(IF($F57="","título, ","")&amp;IF($D57="","veículo, ","")&amp;IF($I57="","tom, ","")&amp;IF($J57="","link, ","")&amp;IF($G57="","alcance, ",""))-2)))</f>
        <v/>
      </c>
      <c r="M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8"/>
      <c r="G58" s="42"/>
      <c r="H58" s="42"/>
      <c r="I58" s="38"/>
      <c r="J58" s="38"/>
      <c r="K58" s="38"/>
      <c r="L58" s="40" t="str">
        <f aca="false">IF($A58="","",IF(LEN(IF($F58="","título, ","")&amp;IF($D58="","veículo, ","")&amp;IF($I58="","tom, ","")&amp;IF($J58="","link, ","")&amp;IF($G58="","alcance, ",""))=0,"OK","Falta "&amp;LEFT(IF($F58="","título, ","")&amp;IF($D58="","veículo, ","")&amp;IF($I58="","tom, ","")&amp;IF($J58="","link, ","")&amp;IF($G58="","alcance, ",""),LEN(IF($F58="","título, ","")&amp;IF($D58="","veículo, ","")&amp;IF($I58="","tom, ","")&amp;IF($J58="","link, ","")&amp;IF($G58="","alcance, ",""))-2)))</f>
        <v/>
      </c>
      <c r="M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8"/>
      <c r="G59" s="42"/>
      <c r="H59" s="42"/>
      <c r="I59" s="38"/>
      <c r="J59" s="38"/>
      <c r="K59" s="38"/>
      <c r="L59" s="40" t="str">
        <f aca="false">IF($A59="","",IF(LEN(IF($F59="","título, ","")&amp;IF($D59="","veículo, ","")&amp;IF($I59="","tom, ","")&amp;IF($J59="","link, ","")&amp;IF($G59="","alcance, ",""))=0,"OK","Falta "&amp;LEFT(IF($F59="","título, ","")&amp;IF($D59="","veículo, ","")&amp;IF($I59="","tom, ","")&amp;IF($J59="","link, ","")&amp;IF($G59="","alcance, ",""),LEN(IF($F59="","título, ","")&amp;IF($D59="","veículo, ","")&amp;IF($I59="","tom, ","")&amp;IF($J59="","link, ","")&amp;IF($G59="","alcance, ",""))-2)))</f>
        <v/>
      </c>
      <c r="M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8"/>
      <c r="G60" s="42"/>
      <c r="H60" s="42"/>
      <c r="I60" s="38"/>
      <c r="J60" s="38"/>
      <c r="K60" s="38"/>
      <c r="L60" s="40" t="str">
        <f aca="false">IF($A60="","",IF(LEN(IF($F60="","título, ","")&amp;IF($D60="","veículo, ","")&amp;IF($I60="","tom, ","")&amp;IF($J60="","link, ","")&amp;IF($G60="","alcance, ",""))=0,"OK","Falta "&amp;LEFT(IF($F60="","título, ","")&amp;IF($D60="","veículo, ","")&amp;IF($I60="","tom, ","")&amp;IF($J60="","link, ","")&amp;IF($G60="","alcance, ",""),LEN(IF($F60="","título, ","")&amp;IF($D60="","veículo, ","")&amp;IF($I60="","tom, ","")&amp;IF($J60="","link, ","")&amp;IF($G60="","alcance, ",""))-2)))</f>
        <v/>
      </c>
      <c r="M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8"/>
      <c r="G61" s="42"/>
      <c r="H61" s="42"/>
      <c r="I61" s="38"/>
      <c r="J61" s="38"/>
      <c r="K61" s="38"/>
      <c r="L61" s="40" t="str">
        <f aca="false">IF($A61="","",IF(LEN(IF($F61="","título, ","")&amp;IF($D61="","veículo, ","")&amp;IF($I61="","tom, ","")&amp;IF($J61="","link, ","")&amp;IF($G61="","alcance, ",""))=0,"OK","Falta "&amp;LEFT(IF($F61="","título, ","")&amp;IF($D61="","veículo, ","")&amp;IF($I61="","tom, ","")&amp;IF($J61="","link, ","")&amp;IF($G61="","alcance, ",""),LEN(IF($F61="","título, ","")&amp;IF($D61="","veículo, ","")&amp;IF($I61="","tom, ","")&amp;IF($J61="","link, ","")&amp;IF($G61="","alcance, ",""))-2)))</f>
        <v/>
      </c>
      <c r="M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8"/>
      <c r="G62" s="42"/>
      <c r="H62" s="42"/>
      <c r="I62" s="38"/>
      <c r="J62" s="38"/>
      <c r="K62" s="38"/>
      <c r="L62" s="40" t="str">
        <f aca="false">IF($A62="","",IF(LEN(IF($F62="","título, ","")&amp;IF($D62="","veículo, ","")&amp;IF($I62="","tom, ","")&amp;IF($J62="","link, ","")&amp;IF($G62="","alcance, ",""))=0,"OK","Falta "&amp;LEFT(IF($F62="","título, ","")&amp;IF($D62="","veículo, ","")&amp;IF($I62="","tom, ","")&amp;IF($J62="","link, ","")&amp;IF($G62="","alcance, ",""),LEN(IF($F62="","título, ","")&amp;IF($D62="","veículo, ","")&amp;IF($I62="","tom, ","")&amp;IF($J62="","link, ","")&amp;IF($G62="","alcance, ",""))-2)))</f>
        <v/>
      </c>
      <c r="M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8"/>
      <c r="G63" s="42"/>
      <c r="H63" s="42"/>
      <c r="I63" s="38"/>
      <c r="J63" s="38"/>
      <c r="K63" s="38"/>
      <c r="L63" s="40" t="str">
        <f aca="false">IF($A63="","",IF(LEN(IF($F63="","título, ","")&amp;IF($D63="","veículo, ","")&amp;IF($I63="","tom, ","")&amp;IF($J63="","link, ","")&amp;IF($G63="","alcance, ",""))=0,"OK","Falta "&amp;LEFT(IF($F63="","título, ","")&amp;IF($D63="","veículo, ","")&amp;IF($I63="","tom, ","")&amp;IF($J63="","link, ","")&amp;IF($G63="","alcance, ",""),LEN(IF($F63="","título, ","")&amp;IF($D63="","veículo, ","")&amp;IF($I63="","tom, ","")&amp;IF($J63="","link, ","")&amp;IF($G63="","alcance, ",""))-2)))</f>
        <v/>
      </c>
      <c r="M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8"/>
      <c r="G64" s="42"/>
      <c r="H64" s="42"/>
      <c r="I64" s="38"/>
      <c r="J64" s="38"/>
      <c r="K64" s="38"/>
      <c r="L64" s="40" t="str">
        <f aca="false">IF($A64="","",IF(LEN(IF($F64="","título, ","")&amp;IF($D64="","veículo, ","")&amp;IF($I64="","tom, ","")&amp;IF($J64="","link, ","")&amp;IF($G64="","alcance, ",""))=0,"OK","Falta "&amp;LEFT(IF($F64="","título, ","")&amp;IF($D64="","veículo, ","")&amp;IF($I64="","tom, ","")&amp;IF($J64="","link, ","")&amp;IF($G64="","alcance, ",""),LEN(IF($F64="","título, ","")&amp;IF($D64="","veículo, ","")&amp;IF($I64="","tom, ","")&amp;IF($J64="","link, ","")&amp;IF($G64="","alcance, ",""))-2)))</f>
        <v/>
      </c>
      <c r="M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8"/>
      <c r="G65" s="42"/>
      <c r="H65" s="42"/>
      <c r="I65" s="38"/>
      <c r="J65" s="38"/>
      <c r="K65" s="38"/>
      <c r="L65" s="40" t="str">
        <f aca="false">IF($A65="","",IF(LEN(IF($F65="","título, ","")&amp;IF($D65="","veículo, ","")&amp;IF($I65="","tom, ","")&amp;IF($J65="","link, ","")&amp;IF($G65="","alcance, ",""))=0,"OK","Falta "&amp;LEFT(IF($F65="","título, ","")&amp;IF($D65="","veículo, ","")&amp;IF($I65="","tom, ","")&amp;IF($J65="","link, ","")&amp;IF($G65="","alcance, ",""),LEN(IF($F65="","título, ","")&amp;IF($D65="","veículo, ","")&amp;IF($I65="","tom, ","")&amp;IF($J65="","link, ","")&amp;IF($G65="","alcance, ",""))-2)))</f>
        <v/>
      </c>
      <c r="M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8"/>
      <c r="G66" s="42"/>
      <c r="H66" s="42"/>
      <c r="I66" s="38"/>
      <c r="J66" s="38"/>
      <c r="K66" s="38"/>
      <c r="L66" s="40" t="str">
        <f aca="false">IF($A66="","",IF(LEN(IF($F66="","título, ","")&amp;IF($D66="","veículo, ","")&amp;IF($I66="","tom, ","")&amp;IF($J66="","link, ","")&amp;IF($G66="","alcance, ",""))=0,"OK","Falta "&amp;LEFT(IF($F66="","título, ","")&amp;IF($D66="","veículo, ","")&amp;IF($I66="","tom, ","")&amp;IF($J66="","link, ","")&amp;IF($G66="","alcance, ",""),LEN(IF($F66="","título, ","")&amp;IF($D66="","veículo, ","")&amp;IF($I66="","tom, ","")&amp;IF($J66="","link, ","")&amp;IF($G66="","alcance, ",""))-2)))</f>
        <v/>
      </c>
      <c r="M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8"/>
      <c r="G67" s="42"/>
      <c r="H67" s="42"/>
      <c r="I67" s="38"/>
      <c r="J67" s="38"/>
      <c r="K67" s="38"/>
      <c r="L67" s="40" t="str">
        <f aca="false">IF($A67="","",IF(LEN(IF($F67="","título, ","")&amp;IF($D67="","veículo, ","")&amp;IF($I67="","tom, ","")&amp;IF($J67="","link, ","")&amp;IF($G67="","alcance, ",""))=0,"OK","Falta "&amp;LEFT(IF($F67="","título, ","")&amp;IF($D67="","veículo, ","")&amp;IF($I67="","tom, ","")&amp;IF($J67="","link, ","")&amp;IF($G67="","alcance, ",""),LEN(IF($F67="","título, ","")&amp;IF($D67="","veículo, ","")&amp;IF($I67="","tom, ","")&amp;IF($J67="","link, ","")&amp;IF($G67="","alcance, ",""))-2)))</f>
        <v/>
      </c>
      <c r="M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8"/>
      <c r="G68" s="42"/>
      <c r="H68" s="42"/>
      <c r="I68" s="38"/>
      <c r="J68" s="38"/>
      <c r="K68" s="38"/>
      <c r="L68" s="40" t="str">
        <f aca="false">IF($A68="","",IF(LEN(IF($F68="","título, ","")&amp;IF($D68="","veículo, ","")&amp;IF($I68="","tom, ","")&amp;IF($J68="","link, ","")&amp;IF($G68="","alcance, ",""))=0,"OK","Falta "&amp;LEFT(IF($F68="","título, ","")&amp;IF($D68="","veículo, ","")&amp;IF($I68="","tom, ","")&amp;IF($J68="","link, ","")&amp;IF($G68="","alcance, ",""),LEN(IF($F68="","título, ","")&amp;IF($D68="","veículo, ","")&amp;IF($I68="","tom, ","")&amp;IF($J68="","link, ","")&amp;IF($G68="","alcance, ",""))-2)))</f>
        <v/>
      </c>
      <c r="M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8"/>
      <c r="G69" s="42"/>
      <c r="H69" s="42"/>
      <c r="I69" s="38"/>
      <c r="J69" s="38"/>
      <c r="K69" s="38"/>
      <c r="L69" s="40" t="str">
        <f aca="false">IF($A69="","",IF(LEN(IF($F69="","título, ","")&amp;IF($D69="","veículo, ","")&amp;IF($I69="","tom, ","")&amp;IF($J69="","link, ","")&amp;IF($G69="","alcance, ",""))=0,"OK","Falta "&amp;LEFT(IF($F69="","título, ","")&amp;IF($D69="","veículo, ","")&amp;IF($I69="","tom, ","")&amp;IF($J69="","link, ","")&amp;IF($G69="","alcance, ",""),LEN(IF($F69="","título, ","")&amp;IF($D69="","veículo, ","")&amp;IF($I69="","tom, ","")&amp;IF($J69="","link, ","")&amp;IF($G69="","alcance, ",""))-2)))</f>
        <v/>
      </c>
      <c r="M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8"/>
      <c r="G70" s="42"/>
      <c r="H70" s="42"/>
      <c r="I70" s="38"/>
      <c r="J70" s="38"/>
      <c r="K70" s="38"/>
      <c r="L70" s="40" t="str">
        <f aca="false">IF($A70="","",IF(LEN(IF($F70="","título, ","")&amp;IF($D70="","veículo, ","")&amp;IF($I70="","tom, ","")&amp;IF($J70="","link, ","")&amp;IF($G70="","alcance, ",""))=0,"OK","Falta "&amp;LEFT(IF($F70="","título, ","")&amp;IF($D70="","veículo, ","")&amp;IF($I70="","tom, ","")&amp;IF($J70="","link, ","")&amp;IF($G70="","alcance, ",""),LEN(IF($F70="","título, ","")&amp;IF($D70="","veículo, ","")&amp;IF($I70="","tom, ","")&amp;IF($J70="","link, ","")&amp;IF($G70="","alcance, ",""))-2)))</f>
        <v/>
      </c>
      <c r="M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8"/>
      <c r="G71" s="42"/>
      <c r="H71" s="42"/>
      <c r="I71" s="38"/>
      <c r="J71" s="38"/>
      <c r="K71" s="38"/>
      <c r="L71" s="40" t="str">
        <f aca="false">IF($A71="","",IF(LEN(IF($F71="","título, ","")&amp;IF($D71="","veículo, ","")&amp;IF($I71="","tom, ","")&amp;IF($J71="","link, ","")&amp;IF($G71="","alcance, ",""))=0,"OK","Falta "&amp;LEFT(IF($F71="","título, ","")&amp;IF($D71="","veículo, ","")&amp;IF($I71="","tom, ","")&amp;IF($J71="","link, ","")&amp;IF($G71="","alcance, ",""),LEN(IF($F71="","título, ","")&amp;IF($D71="","veículo, ","")&amp;IF($I71="","tom, ","")&amp;IF($J71="","link, ","")&amp;IF($G71="","alcance, ",""))-2)))</f>
        <v/>
      </c>
      <c r="M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8"/>
      <c r="G72" s="42"/>
      <c r="H72" s="42"/>
      <c r="I72" s="38"/>
      <c r="J72" s="38"/>
      <c r="K72" s="38"/>
      <c r="L72" s="40" t="str">
        <f aca="false">IF($A72="","",IF(LEN(IF($F72="","título, ","")&amp;IF($D72="","veículo, ","")&amp;IF($I72="","tom, ","")&amp;IF($J72="","link, ","")&amp;IF($G72="","alcance, ",""))=0,"OK","Falta "&amp;LEFT(IF($F72="","título, ","")&amp;IF($D72="","veículo, ","")&amp;IF($I72="","tom, ","")&amp;IF($J72="","link, ","")&amp;IF($G72="","alcance, ",""),LEN(IF($F72="","título, ","")&amp;IF($D72="","veículo, ","")&amp;IF($I72="","tom, ","")&amp;IF($J72="","link, ","")&amp;IF($G72="","alcance, ",""))-2)))</f>
        <v/>
      </c>
      <c r="M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8"/>
      <c r="G73" s="42"/>
      <c r="H73" s="42"/>
      <c r="I73" s="38"/>
      <c r="J73" s="38"/>
      <c r="K73" s="38"/>
      <c r="L73" s="40" t="str">
        <f aca="false">IF($A73="","",IF(LEN(IF($F73="","título, ","")&amp;IF($D73="","veículo, ","")&amp;IF($I73="","tom, ","")&amp;IF($J73="","link, ","")&amp;IF($G73="","alcance, ",""))=0,"OK","Falta "&amp;LEFT(IF($F73="","título, ","")&amp;IF($D73="","veículo, ","")&amp;IF($I73="","tom, ","")&amp;IF($J73="","link, ","")&amp;IF($G73="","alcance, ",""),LEN(IF($F73="","título, ","")&amp;IF($D73="","veículo, ","")&amp;IF($I73="","tom, ","")&amp;IF($J73="","link, ","")&amp;IF($G73="","alcance, ",""))-2)))</f>
        <v/>
      </c>
      <c r="M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8"/>
      <c r="G74" s="42"/>
      <c r="H74" s="42"/>
      <c r="I74" s="38"/>
      <c r="J74" s="38"/>
      <c r="K74" s="38"/>
      <c r="L74" s="40" t="str">
        <f aca="false">IF($A74="","",IF(LEN(IF($F74="","título, ","")&amp;IF($D74="","veículo, ","")&amp;IF($I74="","tom, ","")&amp;IF($J74="","link, ","")&amp;IF($G74="","alcance, ",""))=0,"OK","Falta "&amp;LEFT(IF($F74="","título, ","")&amp;IF($D74="","veículo, ","")&amp;IF($I74="","tom, ","")&amp;IF($J74="","link, ","")&amp;IF($G74="","alcance, ",""),LEN(IF($F74="","título, ","")&amp;IF($D74="","veículo, ","")&amp;IF($I74="","tom, ","")&amp;IF($J74="","link, ","")&amp;IF($G74="","alcance, ",""))-2)))</f>
        <v/>
      </c>
      <c r="M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8"/>
      <c r="G75" s="42"/>
      <c r="H75" s="42"/>
      <c r="I75" s="38"/>
      <c r="J75" s="38"/>
      <c r="K75" s="38"/>
      <c r="L75" s="40" t="str">
        <f aca="false">IF($A75="","",IF(LEN(IF($F75="","título, ","")&amp;IF($D75="","veículo, ","")&amp;IF($I75="","tom, ","")&amp;IF($J75="","link, ","")&amp;IF($G75="","alcance, ",""))=0,"OK","Falta "&amp;LEFT(IF($F75="","título, ","")&amp;IF($D75="","veículo, ","")&amp;IF($I75="","tom, ","")&amp;IF($J75="","link, ","")&amp;IF($G75="","alcance, ",""),LEN(IF($F75="","título, ","")&amp;IF($D75="","veículo, ","")&amp;IF($I75="","tom, ","")&amp;IF($J75="","link, ","")&amp;IF($G75="","alcance, ",""))-2)))</f>
        <v/>
      </c>
      <c r="M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8"/>
      <c r="G76" s="42"/>
      <c r="H76" s="42"/>
      <c r="I76" s="38"/>
      <c r="J76" s="38"/>
      <c r="K76" s="38"/>
      <c r="L76" s="40" t="str">
        <f aca="false">IF($A76="","",IF(LEN(IF($F76="","título, ","")&amp;IF($D76="","veículo, ","")&amp;IF($I76="","tom, ","")&amp;IF($J76="","link, ","")&amp;IF($G76="","alcance, ",""))=0,"OK","Falta "&amp;LEFT(IF($F76="","título, ","")&amp;IF($D76="","veículo, ","")&amp;IF($I76="","tom, ","")&amp;IF($J76="","link, ","")&amp;IF($G76="","alcance, ",""),LEN(IF($F76="","título, ","")&amp;IF($D76="","veículo, ","")&amp;IF($I76="","tom, ","")&amp;IF($J76="","link, ","")&amp;IF($G76="","alcance, ",""))-2)))</f>
        <v/>
      </c>
      <c r="M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8"/>
      <c r="G77" s="42"/>
      <c r="H77" s="42"/>
      <c r="I77" s="38"/>
      <c r="J77" s="38"/>
      <c r="K77" s="38"/>
      <c r="L77" s="40" t="str">
        <f aca="false">IF($A77="","",IF(LEN(IF($F77="","título, ","")&amp;IF($D77="","veículo, ","")&amp;IF($I77="","tom, ","")&amp;IF($J77="","link, ","")&amp;IF($G77="","alcance, ",""))=0,"OK","Falta "&amp;LEFT(IF($F77="","título, ","")&amp;IF($D77="","veículo, ","")&amp;IF($I77="","tom, ","")&amp;IF($J77="","link, ","")&amp;IF($G77="","alcance, ",""),LEN(IF($F77="","título, ","")&amp;IF($D77="","veículo, ","")&amp;IF($I77="","tom, ","")&amp;IF($J77="","link, ","")&amp;IF($G77="","alcance, ",""))-2)))</f>
        <v/>
      </c>
      <c r="M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8"/>
      <c r="G78" s="42"/>
      <c r="H78" s="42"/>
      <c r="I78" s="38"/>
      <c r="J78" s="38"/>
      <c r="K78" s="38"/>
      <c r="L78" s="40" t="str">
        <f aca="false">IF($A78="","",IF(LEN(IF($F78="","título, ","")&amp;IF($D78="","veículo, ","")&amp;IF($I78="","tom, ","")&amp;IF($J78="","link, ","")&amp;IF($G78="","alcance, ",""))=0,"OK","Falta "&amp;LEFT(IF($F78="","título, ","")&amp;IF($D78="","veículo, ","")&amp;IF($I78="","tom, ","")&amp;IF($J78="","link, ","")&amp;IF($G78="","alcance, ",""),LEN(IF($F78="","título, ","")&amp;IF($D78="","veículo, ","")&amp;IF($I78="","tom, ","")&amp;IF($J78="","link, ","")&amp;IF($G78="","alcance, ",""))-2)))</f>
        <v/>
      </c>
      <c r="M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8"/>
      <c r="G79" s="42"/>
      <c r="H79" s="42"/>
      <c r="I79" s="38"/>
      <c r="J79" s="38"/>
      <c r="K79" s="38"/>
      <c r="L79" s="40" t="str">
        <f aca="false">IF($A79="","",IF(LEN(IF($F79="","título, ","")&amp;IF($D79="","veículo, ","")&amp;IF($I79="","tom, ","")&amp;IF($J79="","link, ","")&amp;IF($G79="","alcance, ",""))=0,"OK","Falta "&amp;LEFT(IF($F79="","título, ","")&amp;IF($D79="","veículo, ","")&amp;IF($I79="","tom, ","")&amp;IF($J79="","link, ","")&amp;IF($G79="","alcance, ",""),LEN(IF($F79="","título, ","")&amp;IF($D79="","veículo, ","")&amp;IF($I79="","tom, ","")&amp;IF($J79="","link, ","")&amp;IF($G79="","alcance, ",""))-2)))</f>
        <v/>
      </c>
      <c r="M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8"/>
      <c r="G80" s="42"/>
      <c r="H80" s="42"/>
      <c r="I80" s="38"/>
      <c r="J80" s="38"/>
      <c r="K80" s="38"/>
      <c r="L80" s="40" t="str">
        <f aca="false">IF($A80="","",IF(LEN(IF($F80="","título, ","")&amp;IF($D80="","veículo, ","")&amp;IF($I80="","tom, ","")&amp;IF($J80="","link, ","")&amp;IF($G80="","alcance, ",""))=0,"OK","Falta "&amp;LEFT(IF($F80="","título, ","")&amp;IF($D80="","veículo, ","")&amp;IF($I80="","tom, ","")&amp;IF($J80="","link, ","")&amp;IF($G80="","alcance, ",""),LEN(IF($F80="","título, ","")&amp;IF($D80="","veículo, ","")&amp;IF($I80="","tom, ","")&amp;IF($J80="","link, ","")&amp;IF($G80="","alcance, ",""))-2)))</f>
        <v/>
      </c>
      <c r="M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8"/>
      <c r="G81" s="42"/>
      <c r="H81" s="42"/>
      <c r="I81" s="38"/>
      <c r="J81" s="38"/>
      <c r="K81" s="38"/>
      <c r="L81" s="40" t="str">
        <f aca="false">IF($A81="","",IF(LEN(IF($F81="","título, ","")&amp;IF($D81="","veículo, ","")&amp;IF($I81="","tom, ","")&amp;IF($J81="","link, ","")&amp;IF($G81="","alcance, ",""))=0,"OK","Falta "&amp;LEFT(IF($F81="","título, ","")&amp;IF($D81="","veículo, ","")&amp;IF($I81="","tom, ","")&amp;IF($J81="","link, ","")&amp;IF($G81="","alcance, ",""),LEN(IF($F81="","título, ","")&amp;IF($D81="","veículo, ","")&amp;IF($I81="","tom, ","")&amp;IF($J81="","link, ","")&amp;IF($G81="","alcance, ",""))-2)))</f>
        <v/>
      </c>
      <c r="M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8"/>
      <c r="G82" s="42"/>
      <c r="H82" s="42"/>
      <c r="I82" s="38"/>
      <c r="J82" s="38"/>
      <c r="K82" s="38"/>
      <c r="L82" s="40" t="str">
        <f aca="false">IF($A82="","",IF(LEN(IF($F82="","título, ","")&amp;IF($D82="","veículo, ","")&amp;IF($I82="","tom, ","")&amp;IF($J82="","link, ","")&amp;IF($G82="","alcance, ",""))=0,"OK","Falta "&amp;LEFT(IF($F82="","título, ","")&amp;IF($D82="","veículo, ","")&amp;IF($I82="","tom, ","")&amp;IF($J82="","link, ","")&amp;IF($G82="","alcance, ",""),LEN(IF($F82="","título, ","")&amp;IF($D82="","veículo, ","")&amp;IF($I82="","tom, ","")&amp;IF($J82="","link, ","")&amp;IF($G82="","alcance, ",""))-2)))</f>
        <v/>
      </c>
      <c r="M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8"/>
      <c r="G83" s="42"/>
      <c r="H83" s="42"/>
      <c r="I83" s="38"/>
      <c r="J83" s="38"/>
      <c r="K83" s="38"/>
      <c r="L83" s="40" t="str">
        <f aca="false">IF($A83="","",IF(LEN(IF($F83="","título, ","")&amp;IF($D83="","veículo, ","")&amp;IF($I83="","tom, ","")&amp;IF($J83="","link, ","")&amp;IF($G83="","alcance, ",""))=0,"OK","Falta "&amp;LEFT(IF($F83="","título, ","")&amp;IF($D83="","veículo, ","")&amp;IF($I83="","tom, ","")&amp;IF($J83="","link, ","")&amp;IF($G83="","alcance, ",""),LEN(IF($F83="","título, ","")&amp;IF($D83="","veículo, ","")&amp;IF($I83="","tom, ","")&amp;IF($J83="","link, ","")&amp;IF($G83="","alcance, ",""))-2)))</f>
        <v/>
      </c>
      <c r="M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8"/>
      <c r="G84" s="42"/>
      <c r="H84" s="42"/>
      <c r="I84" s="38"/>
      <c r="J84" s="38"/>
      <c r="K84" s="38"/>
      <c r="L84" s="40" t="str">
        <f aca="false">IF($A84="","",IF(LEN(IF($F84="","título, ","")&amp;IF($D84="","veículo, ","")&amp;IF($I84="","tom, ","")&amp;IF($J84="","link, ","")&amp;IF($G84="","alcance, ",""))=0,"OK","Falta "&amp;LEFT(IF($F84="","título, ","")&amp;IF($D84="","veículo, ","")&amp;IF($I84="","tom, ","")&amp;IF($J84="","link, ","")&amp;IF($G84="","alcance, ",""),LEN(IF($F84="","título, ","")&amp;IF($D84="","veículo, ","")&amp;IF($I84="","tom, ","")&amp;IF($J84="","link, ","")&amp;IF($G84="","alcance, ",""))-2)))</f>
        <v/>
      </c>
      <c r="M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8"/>
      <c r="G85" s="42"/>
      <c r="H85" s="42"/>
      <c r="I85" s="38"/>
      <c r="J85" s="38"/>
      <c r="K85" s="38"/>
      <c r="L85" s="40" t="str">
        <f aca="false">IF($A85="","",IF(LEN(IF($F85="","título, ","")&amp;IF($D85="","veículo, ","")&amp;IF($I85="","tom, ","")&amp;IF($J85="","link, ","")&amp;IF($G85="","alcance, ",""))=0,"OK","Falta "&amp;LEFT(IF($F85="","título, ","")&amp;IF($D85="","veículo, ","")&amp;IF($I85="","tom, ","")&amp;IF($J85="","link, ","")&amp;IF($G85="","alcance, ",""),LEN(IF($F85="","título, ","")&amp;IF($D85="","veículo, ","")&amp;IF($I85="","tom, ","")&amp;IF($J85="","link, ","")&amp;IF($G85="","alcance, ",""))-2)))</f>
        <v/>
      </c>
      <c r="M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8"/>
      <c r="G86" s="42"/>
      <c r="H86" s="42"/>
      <c r="I86" s="38"/>
      <c r="J86" s="38"/>
      <c r="K86" s="38"/>
      <c r="L86" s="40" t="str">
        <f aca="false">IF($A86="","",IF(LEN(IF($F86="","título, ","")&amp;IF($D86="","veículo, ","")&amp;IF($I86="","tom, ","")&amp;IF($J86="","link, ","")&amp;IF($G86="","alcance, ",""))=0,"OK","Falta "&amp;LEFT(IF($F86="","título, ","")&amp;IF($D86="","veículo, ","")&amp;IF($I86="","tom, ","")&amp;IF($J86="","link, ","")&amp;IF($G86="","alcance, ",""),LEN(IF($F86="","título, ","")&amp;IF($D86="","veículo, ","")&amp;IF($I86="","tom, ","")&amp;IF($J86="","link, ","")&amp;IF($G86="","alcance, ",""))-2)))</f>
        <v/>
      </c>
      <c r="M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8"/>
      <c r="G87" s="42"/>
      <c r="H87" s="42"/>
      <c r="I87" s="38"/>
      <c r="J87" s="38"/>
      <c r="K87" s="38"/>
      <c r="L87" s="40" t="str">
        <f aca="false">IF($A87="","",IF(LEN(IF($F87="","título, ","")&amp;IF($D87="","veículo, ","")&amp;IF($I87="","tom, ","")&amp;IF($J87="","link, ","")&amp;IF($G87="","alcance, ",""))=0,"OK","Falta "&amp;LEFT(IF($F87="","título, ","")&amp;IF($D87="","veículo, ","")&amp;IF($I87="","tom, ","")&amp;IF($J87="","link, ","")&amp;IF($G87="","alcance, ",""),LEN(IF($F87="","título, ","")&amp;IF($D87="","veículo, ","")&amp;IF($I87="","tom, ","")&amp;IF($J87="","link, ","")&amp;IF($G87="","alcance, ",""))-2)))</f>
        <v/>
      </c>
      <c r="M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8"/>
      <c r="G88" s="42"/>
      <c r="H88" s="42"/>
      <c r="I88" s="38"/>
      <c r="J88" s="38"/>
      <c r="K88" s="38"/>
      <c r="L88" s="40" t="str">
        <f aca="false">IF($A88="","",IF(LEN(IF($F88="","título, ","")&amp;IF($D88="","veículo, ","")&amp;IF($I88="","tom, ","")&amp;IF($J88="","link, ","")&amp;IF($G88="","alcance, ",""))=0,"OK","Falta "&amp;LEFT(IF($F88="","título, ","")&amp;IF($D88="","veículo, ","")&amp;IF($I88="","tom, ","")&amp;IF($J88="","link, ","")&amp;IF($G88="","alcance, ",""),LEN(IF($F88="","título, ","")&amp;IF($D88="","veículo, ","")&amp;IF($I88="","tom, ","")&amp;IF($J88="","link, ","")&amp;IF($G88="","alcance, ",""))-2)))</f>
        <v/>
      </c>
      <c r="M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8"/>
      <c r="G89" s="42"/>
      <c r="H89" s="42"/>
      <c r="I89" s="38"/>
      <c r="J89" s="38"/>
      <c r="K89" s="38"/>
      <c r="L89" s="40" t="str">
        <f aca="false">IF($A89="","",IF(LEN(IF($F89="","título, ","")&amp;IF($D89="","veículo, ","")&amp;IF($I89="","tom, ","")&amp;IF($J89="","link, ","")&amp;IF($G89="","alcance, ",""))=0,"OK","Falta "&amp;LEFT(IF($F89="","título, ","")&amp;IF($D89="","veículo, ","")&amp;IF($I89="","tom, ","")&amp;IF($J89="","link, ","")&amp;IF($G89="","alcance, ",""),LEN(IF($F89="","título, ","")&amp;IF($D89="","veículo, ","")&amp;IF($I89="","tom, ","")&amp;IF($J89="","link, ","")&amp;IF($G89="","alcance, ",""))-2)))</f>
        <v/>
      </c>
      <c r="M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8"/>
      <c r="G90" s="42"/>
      <c r="H90" s="42"/>
      <c r="I90" s="38"/>
      <c r="J90" s="38"/>
      <c r="K90" s="38"/>
      <c r="L90" s="40" t="str">
        <f aca="false">IF($A90="","",IF(LEN(IF($F90="","título, ","")&amp;IF($D90="","veículo, ","")&amp;IF($I90="","tom, ","")&amp;IF($J90="","link, ","")&amp;IF($G90="","alcance, ",""))=0,"OK","Falta "&amp;LEFT(IF($F90="","título, ","")&amp;IF($D90="","veículo, ","")&amp;IF($I90="","tom, ","")&amp;IF($J90="","link, ","")&amp;IF($G90="","alcance, ",""),LEN(IF($F90="","título, ","")&amp;IF($D90="","veículo, ","")&amp;IF($I90="","tom, ","")&amp;IF($J90="","link, ","")&amp;IF($G90="","alcance, ",""))-2)))</f>
        <v/>
      </c>
      <c r="M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8"/>
      <c r="G91" s="42"/>
      <c r="H91" s="42"/>
      <c r="I91" s="38"/>
      <c r="J91" s="38"/>
      <c r="K91" s="38"/>
      <c r="L91" s="40" t="str">
        <f aca="false">IF($A91="","",IF(LEN(IF($F91="","título, ","")&amp;IF($D91="","veículo, ","")&amp;IF($I91="","tom, ","")&amp;IF($J91="","link, ","")&amp;IF($G91="","alcance, ",""))=0,"OK","Falta "&amp;LEFT(IF($F91="","título, ","")&amp;IF($D91="","veículo, ","")&amp;IF($I91="","tom, ","")&amp;IF($J91="","link, ","")&amp;IF($G91="","alcance, ",""),LEN(IF($F91="","título, ","")&amp;IF($D91="","veículo, ","")&amp;IF($I91="","tom, ","")&amp;IF($J91="","link, ","")&amp;IF($G91="","alcance, ",""))-2)))</f>
        <v/>
      </c>
      <c r="M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8"/>
      <c r="G92" s="42"/>
      <c r="H92" s="42"/>
      <c r="I92" s="38"/>
      <c r="J92" s="38"/>
      <c r="K92" s="38"/>
      <c r="L92" s="40" t="str">
        <f aca="false">IF($A92="","",IF(LEN(IF($F92="","título, ","")&amp;IF($D92="","veículo, ","")&amp;IF($I92="","tom, ","")&amp;IF($J92="","link, ","")&amp;IF($G92="","alcance, ",""))=0,"OK","Falta "&amp;LEFT(IF($F92="","título, ","")&amp;IF($D92="","veículo, ","")&amp;IF($I92="","tom, ","")&amp;IF($J92="","link, ","")&amp;IF($G92="","alcance, ",""),LEN(IF($F92="","título, ","")&amp;IF($D92="","veículo, ","")&amp;IF($I92="","tom, ","")&amp;IF($J92="","link, ","")&amp;IF($G92="","alcance, ",""))-2)))</f>
        <v/>
      </c>
      <c r="M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8"/>
      <c r="G93" s="42"/>
      <c r="H93" s="42"/>
      <c r="I93" s="38"/>
      <c r="J93" s="38"/>
      <c r="K93" s="38"/>
      <c r="L93" s="40" t="str">
        <f aca="false">IF($A93="","",IF(LEN(IF($F93="","título, ","")&amp;IF($D93="","veículo, ","")&amp;IF($I93="","tom, ","")&amp;IF($J93="","link, ","")&amp;IF($G93="","alcance, ",""))=0,"OK","Falta "&amp;LEFT(IF($F93="","título, ","")&amp;IF($D93="","veículo, ","")&amp;IF($I93="","tom, ","")&amp;IF($J93="","link, ","")&amp;IF($G93="","alcance, ",""),LEN(IF($F93="","título, ","")&amp;IF($D93="","veículo, ","")&amp;IF($I93="","tom, ","")&amp;IF($J93="","link, ","")&amp;IF($G93="","alcance, ",""))-2)))</f>
        <v/>
      </c>
      <c r="M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8"/>
      <c r="G94" s="42"/>
      <c r="H94" s="42"/>
      <c r="I94" s="38"/>
      <c r="J94" s="38"/>
      <c r="K94" s="38"/>
      <c r="L94" s="40" t="str">
        <f aca="false">IF($A94="","",IF(LEN(IF($F94="","título, ","")&amp;IF($D94="","veículo, ","")&amp;IF($I94="","tom, ","")&amp;IF($J94="","link, ","")&amp;IF($G94="","alcance, ",""))=0,"OK","Falta "&amp;LEFT(IF($F94="","título, ","")&amp;IF($D94="","veículo, ","")&amp;IF($I94="","tom, ","")&amp;IF($J94="","link, ","")&amp;IF($G94="","alcance, ",""),LEN(IF($F94="","título, ","")&amp;IF($D94="","veículo, ","")&amp;IF($I94="","tom, ","")&amp;IF($J94="","link, ","")&amp;IF($G94="","alcance, ",""))-2)))</f>
        <v/>
      </c>
      <c r="M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8"/>
      <c r="G95" s="42"/>
      <c r="H95" s="42"/>
      <c r="I95" s="38"/>
      <c r="J95" s="38"/>
      <c r="K95" s="38"/>
      <c r="L95" s="40" t="str">
        <f aca="false">IF($A95="","",IF(LEN(IF($F95="","título, ","")&amp;IF($D95="","veículo, ","")&amp;IF($I95="","tom, ","")&amp;IF($J95="","link, ","")&amp;IF($G95="","alcance, ",""))=0,"OK","Falta "&amp;LEFT(IF($F95="","título, ","")&amp;IF($D95="","veículo, ","")&amp;IF($I95="","tom, ","")&amp;IF($J95="","link, ","")&amp;IF($G95="","alcance, ",""),LEN(IF($F95="","título, ","")&amp;IF($D95="","veículo, ","")&amp;IF($I95="","tom, ","")&amp;IF($J95="","link, ","")&amp;IF($G95="","alcance, ",""))-2)))</f>
        <v/>
      </c>
      <c r="M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8"/>
      <c r="G96" s="42"/>
      <c r="H96" s="42"/>
      <c r="I96" s="38"/>
      <c r="J96" s="38"/>
      <c r="K96" s="38"/>
      <c r="L96" s="40" t="str">
        <f aca="false">IF($A96="","",IF(LEN(IF($F96="","título, ","")&amp;IF($D96="","veículo, ","")&amp;IF($I96="","tom, ","")&amp;IF($J96="","link, ","")&amp;IF($G96="","alcance, ",""))=0,"OK","Falta "&amp;LEFT(IF($F96="","título, ","")&amp;IF($D96="","veículo, ","")&amp;IF($I96="","tom, ","")&amp;IF($J96="","link, ","")&amp;IF($G96="","alcance, ",""),LEN(IF($F96="","título, ","")&amp;IF($D96="","veículo, ","")&amp;IF($I96="","tom, ","")&amp;IF($J96="","link, ","")&amp;IF($G96="","alcance, ",""))-2)))</f>
        <v/>
      </c>
      <c r="M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8"/>
      <c r="G97" s="42"/>
      <c r="H97" s="42"/>
      <c r="I97" s="38"/>
      <c r="J97" s="38"/>
      <c r="K97" s="38"/>
      <c r="L97" s="40" t="str">
        <f aca="false">IF($A97="","",IF(LEN(IF($F97="","título, ","")&amp;IF($D97="","veículo, ","")&amp;IF($I97="","tom, ","")&amp;IF($J97="","link, ","")&amp;IF($G97="","alcance, ",""))=0,"OK","Falta "&amp;LEFT(IF($F97="","título, ","")&amp;IF($D97="","veículo, ","")&amp;IF($I97="","tom, ","")&amp;IF($J97="","link, ","")&amp;IF($G97="","alcance, ",""),LEN(IF($F97="","título, ","")&amp;IF($D97="","veículo, ","")&amp;IF($I97="","tom, ","")&amp;IF($J97="","link, ","")&amp;IF($G97="","alcance, ",""))-2)))</f>
        <v/>
      </c>
      <c r="M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8"/>
      <c r="G98" s="42"/>
      <c r="H98" s="42"/>
      <c r="I98" s="38"/>
      <c r="J98" s="38"/>
      <c r="K98" s="38"/>
      <c r="L98" s="40" t="str">
        <f aca="false">IF($A98="","",IF(LEN(IF($F98="","título, ","")&amp;IF($D98="","veículo, ","")&amp;IF($I98="","tom, ","")&amp;IF($J98="","link, ","")&amp;IF($G98="","alcance, ",""))=0,"OK","Falta "&amp;LEFT(IF($F98="","título, ","")&amp;IF($D98="","veículo, ","")&amp;IF($I98="","tom, ","")&amp;IF($J98="","link, ","")&amp;IF($G98="","alcance, ",""),LEN(IF($F98="","título, ","")&amp;IF($D98="","veículo, ","")&amp;IF($I98="","tom, ","")&amp;IF($J98="","link, ","")&amp;IF($G98="","alcance, ",""))-2)))</f>
        <v/>
      </c>
      <c r="M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8"/>
      <c r="G99" s="42"/>
      <c r="H99" s="42"/>
      <c r="I99" s="38"/>
      <c r="J99" s="38"/>
      <c r="K99" s="38"/>
      <c r="L99" s="40" t="str">
        <f aca="false">IF($A99="","",IF(LEN(IF($F99="","título, ","")&amp;IF($D99="","veículo, ","")&amp;IF($I99="","tom, ","")&amp;IF($J99="","link, ","")&amp;IF($G99="","alcance, ",""))=0,"OK","Falta "&amp;LEFT(IF($F99="","título, ","")&amp;IF($D99="","veículo, ","")&amp;IF($I99="","tom, ","")&amp;IF($J99="","link, ","")&amp;IF($G99="","alcance, ",""),LEN(IF($F99="","título, ","")&amp;IF($D99="","veículo, ","")&amp;IF($I99="","tom, ","")&amp;IF($J99="","link, ","")&amp;IF($G99="","alcance, ",""))-2)))</f>
        <v/>
      </c>
      <c r="M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8"/>
      <c r="G100" s="42"/>
      <c r="H100" s="42"/>
      <c r="I100" s="38"/>
      <c r="J100" s="38"/>
      <c r="K100" s="38"/>
      <c r="L100" s="40" t="str">
        <f aca="false">IF($A100="","",IF(LEN(IF($F100="","título, ","")&amp;IF($D100="","veículo, ","")&amp;IF($I100="","tom, ","")&amp;IF($J100="","link, ","")&amp;IF($G100="","alcance, ",""))=0,"OK","Falta "&amp;LEFT(IF($F100="","título, ","")&amp;IF($D100="","veículo, ","")&amp;IF($I100="","tom, ","")&amp;IF($J100="","link, ","")&amp;IF($G100="","alcance, ",""),LEN(IF($F100="","título, ","")&amp;IF($D100="","veículo, ","")&amp;IF($I100="","tom, ","")&amp;IF($J100="","link, ","")&amp;IF($G100="","alcance, ",""))-2)))</f>
        <v/>
      </c>
      <c r="M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8"/>
      <c r="G101" s="42"/>
      <c r="H101" s="42"/>
      <c r="I101" s="38"/>
      <c r="J101" s="38"/>
      <c r="K101" s="38"/>
      <c r="L101" s="40" t="str">
        <f aca="false">IF($A101="","",IF(LEN(IF($F101="","título, ","")&amp;IF($D101="","veículo, ","")&amp;IF($I101="","tom, ","")&amp;IF($J101="","link, ","")&amp;IF($G101="","alcance, ",""))=0,"OK","Falta "&amp;LEFT(IF($F101="","título, ","")&amp;IF($D101="","veículo, ","")&amp;IF($I101="","tom, ","")&amp;IF($J101="","link, ","")&amp;IF($G101="","alcance, ",""),LEN(IF($F101="","título, ","")&amp;IF($D101="","veículo, ","")&amp;IF($I101="","tom, ","")&amp;IF($J101="","link, ","")&amp;IF($G101="","alcance, ",""))-2)))</f>
        <v/>
      </c>
      <c r="M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8"/>
      <c r="G102" s="42"/>
      <c r="H102" s="42"/>
      <c r="I102" s="38"/>
      <c r="J102" s="38"/>
      <c r="K102" s="38"/>
      <c r="L102" s="40" t="str">
        <f aca="false">IF($A102="","",IF(LEN(IF($F102="","título, ","")&amp;IF($D102="","veículo, ","")&amp;IF($I102="","tom, ","")&amp;IF($J102="","link, ","")&amp;IF($G102="","alcance, ",""))=0,"OK","Falta "&amp;LEFT(IF($F102="","título, ","")&amp;IF($D102="","veículo, ","")&amp;IF($I102="","tom, ","")&amp;IF($J102="","link, ","")&amp;IF($G102="","alcance, ",""),LEN(IF($F102="","título, ","")&amp;IF($D102="","veículo, ","")&amp;IF($I102="","tom, ","")&amp;IF($J102="","link, ","")&amp;IF($G102="","alcance, ",""))-2)))</f>
        <v/>
      </c>
      <c r="M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8"/>
      <c r="G103" s="42"/>
      <c r="H103" s="42"/>
      <c r="I103" s="38"/>
      <c r="J103" s="38"/>
      <c r="K103" s="38"/>
      <c r="L103" s="40" t="str">
        <f aca="false">IF($A103="","",IF(LEN(IF($F103="","título, ","")&amp;IF($D103="","veículo, ","")&amp;IF($I103="","tom, ","")&amp;IF($J103="","link, ","")&amp;IF($G103="","alcance, ",""))=0,"OK","Falta "&amp;LEFT(IF($F103="","título, ","")&amp;IF($D103="","veículo, ","")&amp;IF($I103="","tom, ","")&amp;IF($J103="","link, ","")&amp;IF($G103="","alcance, ",""),LEN(IF($F103="","título, ","")&amp;IF($D103="","veículo, ","")&amp;IF($I103="","tom, ","")&amp;IF($J103="","link, ","")&amp;IF($G103="","alcance, ",""))-2)))</f>
        <v/>
      </c>
      <c r="M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8"/>
      <c r="G104" s="42"/>
      <c r="H104" s="42"/>
      <c r="I104" s="38"/>
      <c r="J104" s="38"/>
      <c r="K104" s="38"/>
      <c r="L104" s="40" t="str">
        <f aca="false">IF($A104="","",IF(LEN(IF($F104="","título, ","")&amp;IF($D104="","veículo, ","")&amp;IF($I104="","tom, ","")&amp;IF($J104="","link, ","")&amp;IF($G104="","alcance, ",""))=0,"OK","Falta "&amp;LEFT(IF($F104="","título, ","")&amp;IF($D104="","veículo, ","")&amp;IF($I104="","tom, ","")&amp;IF($J104="","link, ","")&amp;IF($G104="","alcance, ",""),LEN(IF($F104="","título, ","")&amp;IF($D104="","veículo, ","")&amp;IF($I104="","tom, ","")&amp;IF($J104="","link, ","")&amp;IF($G104="","alcance, ",""))-2)))</f>
        <v/>
      </c>
      <c r="M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8"/>
      <c r="G105" s="42"/>
      <c r="H105" s="42"/>
      <c r="I105" s="38"/>
      <c r="J105" s="38"/>
      <c r="K105" s="38"/>
      <c r="L105" s="40" t="str">
        <f aca="false">IF($A105="","",IF(LEN(IF($F105="","título, ","")&amp;IF($D105="","veículo, ","")&amp;IF($I105="","tom, ","")&amp;IF($J105="","link, ","")&amp;IF($G105="","alcance, ",""))=0,"OK","Falta "&amp;LEFT(IF($F105="","título, ","")&amp;IF($D105="","veículo, ","")&amp;IF($I105="","tom, ","")&amp;IF($J105="","link, ","")&amp;IF($G105="","alcance, ",""),LEN(IF($F105="","título, ","")&amp;IF($D105="","veículo, ","")&amp;IF($I105="","tom, ","")&amp;IF($J105="","link, ","")&amp;IF($G105="","alcance, ",""))-2)))</f>
        <v/>
      </c>
      <c r="M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8"/>
      <c r="G106" s="42"/>
      <c r="H106" s="42"/>
      <c r="I106" s="38"/>
      <c r="J106" s="38"/>
      <c r="K106" s="38"/>
      <c r="L106" s="40" t="str">
        <f aca="false">IF($A106="","",IF(LEN(IF($F106="","título, ","")&amp;IF($D106="","veículo, ","")&amp;IF($I106="","tom, ","")&amp;IF($J106="","link, ","")&amp;IF($G106="","alcance, ",""))=0,"OK","Falta "&amp;LEFT(IF($F106="","título, ","")&amp;IF($D106="","veículo, ","")&amp;IF($I106="","tom, ","")&amp;IF($J106="","link, ","")&amp;IF($G106="","alcance, ",""),LEN(IF($F106="","título, ","")&amp;IF($D106="","veículo, ","")&amp;IF($I106="","tom, ","")&amp;IF($J106="","link, ","")&amp;IF($G106="","alcance, ",""))-2)))</f>
        <v/>
      </c>
      <c r="M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8"/>
      <c r="G107" s="42"/>
      <c r="H107" s="42"/>
      <c r="I107" s="38"/>
      <c r="J107" s="38"/>
      <c r="K107" s="38"/>
      <c r="L107" s="40" t="str">
        <f aca="false">IF($A107="","",IF(LEN(IF($F107="","título, ","")&amp;IF($D107="","veículo, ","")&amp;IF($I107="","tom, ","")&amp;IF($J107="","link, ","")&amp;IF($G107="","alcance, ",""))=0,"OK","Falta "&amp;LEFT(IF($F107="","título, ","")&amp;IF($D107="","veículo, ","")&amp;IF($I107="","tom, ","")&amp;IF($J107="","link, ","")&amp;IF($G107="","alcance, ",""),LEN(IF($F107="","título, ","")&amp;IF($D107="","veículo, ","")&amp;IF($I107="","tom, ","")&amp;IF($J107="","link, ","")&amp;IF($G107="","alcance, ",""))-2)))</f>
        <v/>
      </c>
      <c r="M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8"/>
      <c r="G108" s="42"/>
      <c r="H108" s="42"/>
      <c r="I108" s="38"/>
      <c r="J108" s="38"/>
      <c r="K108" s="38"/>
      <c r="L108" s="40" t="str">
        <f aca="false">IF($A108="","",IF(LEN(IF($F108="","título, ","")&amp;IF($D108="","veículo, ","")&amp;IF($I108="","tom, ","")&amp;IF($J108="","link, ","")&amp;IF($G108="","alcance, ",""))=0,"OK","Falta "&amp;LEFT(IF($F108="","título, ","")&amp;IF($D108="","veículo, ","")&amp;IF($I108="","tom, ","")&amp;IF($J108="","link, ","")&amp;IF($G108="","alcance, ",""),LEN(IF($F108="","título, ","")&amp;IF($D108="","veículo, ","")&amp;IF($I108="","tom, ","")&amp;IF($J108="","link, ","")&amp;IF($G108="","alcance, ",""))-2)))</f>
        <v/>
      </c>
      <c r="M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8"/>
      <c r="G109" s="42"/>
      <c r="H109" s="42"/>
      <c r="I109" s="38"/>
      <c r="J109" s="38"/>
      <c r="K109" s="38"/>
      <c r="L109" s="40" t="str">
        <f aca="false">IF($A109="","",IF(LEN(IF($F109="","título, ","")&amp;IF($D109="","veículo, ","")&amp;IF($I109="","tom, ","")&amp;IF($J109="","link, ","")&amp;IF($G109="","alcance, ",""))=0,"OK","Falta "&amp;LEFT(IF($F109="","título, ","")&amp;IF($D109="","veículo, ","")&amp;IF($I109="","tom, ","")&amp;IF($J109="","link, ","")&amp;IF($G109="","alcance, ",""),LEN(IF($F109="","título, ","")&amp;IF($D109="","veículo, ","")&amp;IF($I109="","tom, ","")&amp;IF($J109="","link, ","")&amp;IF($G109="","alcance, ",""))-2)))</f>
        <v/>
      </c>
      <c r="M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8"/>
      <c r="G110" s="42"/>
      <c r="H110" s="42"/>
      <c r="I110" s="38"/>
      <c r="J110" s="38"/>
      <c r="K110" s="38"/>
      <c r="L110" s="40" t="str">
        <f aca="false">IF($A110="","",IF(LEN(IF($F110="","título, ","")&amp;IF($D110="","veículo, ","")&amp;IF($I110="","tom, ","")&amp;IF($J110="","link, ","")&amp;IF($G110="","alcance, ",""))=0,"OK","Falta "&amp;LEFT(IF($F110="","título, ","")&amp;IF($D110="","veículo, ","")&amp;IF($I110="","tom, ","")&amp;IF($J110="","link, ","")&amp;IF($G110="","alcance, ",""),LEN(IF($F110="","título, ","")&amp;IF($D110="","veículo, ","")&amp;IF($I110="","tom, ","")&amp;IF($J110="","link, ","")&amp;IF($G110="","alcance, ",""))-2)))</f>
        <v/>
      </c>
      <c r="M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8"/>
      <c r="G111" s="42"/>
      <c r="H111" s="42"/>
      <c r="I111" s="38"/>
      <c r="J111" s="38"/>
      <c r="K111" s="38"/>
      <c r="L111" s="40" t="str">
        <f aca="false">IF($A111="","",IF(LEN(IF($F111="","título, ","")&amp;IF($D111="","veículo, ","")&amp;IF($I111="","tom, ","")&amp;IF($J111="","link, ","")&amp;IF($G111="","alcance, ",""))=0,"OK","Falta "&amp;LEFT(IF($F111="","título, ","")&amp;IF($D111="","veículo, ","")&amp;IF($I111="","tom, ","")&amp;IF($J111="","link, ","")&amp;IF($G111="","alcance, ",""),LEN(IF($F111="","título, ","")&amp;IF($D111="","veículo, ","")&amp;IF($I111="","tom, ","")&amp;IF($J111="","link, ","")&amp;IF($G111="","alcance, ",""))-2)))</f>
        <v/>
      </c>
      <c r="M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8"/>
      <c r="G112" s="42"/>
      <c r="H112" s="42"/>
      <c r="I112" s="38"/>
      <c r="J112" s="38"/>
      <c r="K112" s="38"/>
      <c r="L112" s="40" t="str">
        <f aca="false">IF($A112="","",IF(LEN(IF($F112="","título, ","")&amp;IF($D112="","veículo, ","")&amp;IF($I112="","tom, ","")&amp;IF($J112="","link, ","")&amp;IF($G112="","alcance, ",""))=0,"OK","Falta "&amp;LEFT(IF($F112="","título, ","")&amp;IF($D112="","veículo, ","")&amp;IF($I112="","tom, ","")&amp;IF($J112="","link, ","")&amp;IF($G112="","alcance, ",""),LEN(IF($F112="","título, ","")&amp;IF($D112="","veículo, ","")&amp;IF($I112="","tom, ","")&amp;IF($J112="","link, ","")&amp;IF($G112="","alcance, ",""))-2)))</f>
        <v/>
      </c>
      <c r="M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8"/>
      <c r="G113" s="42"/>
      <c r="H113" s="42"/>
      <c r="I113" s="38"/>
      <c r="J113" s="38"/>
      <c r="K113" s="38"/>
      <c r="L113" s="40" t="str">
        <f aca="false">IF($A113="","",IF(LEN(IF($F113="","título, ","")&amp;IF($D113="","veículo, ","")&amp;IF($I113="","tom, ","")&amp;IF($J113="","link, ","")&amp;IF($G113="","alcance, ",""))=0,"OK","Falta "&amp;LEFT(IF($F113="","título, ","")&amp;IF($D113="","veículo, ","")&amp;IF($I113="","tom, ","")&amp;IF($J113="","link, ","")&amp;IF($G113="","alcance, ",""),LEN(IF($F113="","título, ","")&amp;IF($D113="","veículo, ","")&amp;IF($I113="","tom, ","")&amp;IF($J113="","link, ","")&amp;IF($G113="","alcance, ",""))-2)))</f>
        <v/>
      </c>
      <c r="M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8"/>
      <c r="G114" s="42"/>
      <c r="H114" s="42"/>
      <c r="I114" s="38"/>
      <c r="J114" s="38"/>
      <c r="K114" s="38"/>
      <c r="L114" s="40" t="str">
        <f aca="false">IF($A114="","",IF(LEN(IF($F114="","título, ","")&amp;IF($D114="","veículo, ","")&amp;IF($I114="","tom, ","")&amp;IF($J114="","link, ","")&amp;IF($G114="","alcance, ",""))=0,"OK","Falta "&amp;LEFT(IF($F114="","título, ","")&amp;IF($D114="","veículo, ","")&amp;IF($I114="","tom, ","")&amp;IF($J114="","link, ","")&amp;IF($G114="","alcance, ",""),LEN(IF($F114="","título, ","")&amp;IF($D114="","veículo, ","")&amp;IF($I114="","tom, ","")&amp;IF($J114="","link, ","")&amp;IF($G114="","alcance, ",""))-2)))</f>
        <v/>
      </c>
      <c r="M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8"/>
      <c r="G115" s="42"/>
      <c r="H115" s="42"/>
      <c r="I115" s="38"/>
      <c r="J115" s="38"/>
      <c r="K115" s="38"/>
      <c r="L115" s="40" t="str">
        <f aca="false">IF($A115="","",IF(LEN(IF($F115="","título, ","")&amp;IF($D115="","veículo, ","")&amp;IF($I115="","tom, ","")&amp;IF($J115="","link, ","")&amp;IF($G115="","alcance, ",""))=0,"OK","Falta "&amp;LEFT(IF($F115="","título, ","")&amp;IF($D115="","veículo, ","")&amp;IF($I115="","tom, ","")&amp;IF($J115="","link, ","")&amp;IF($G115="","alcance, ",""),LEN(IF($F115="","título, ","")&amp;IF($D115="","veículo, ","")&amp;IF($I115="","tom, ","")&amp;IF($J115="","link, ","")&amp;IF($G115="","alcance, ",""))-2)))</f>
        <v/>
      </c>
      <c r="M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8"/>
      <c r="G116" s="42"/>
      <c r="H116" s="42"/>
      <c r="I116" s="38"/>
      <c r="J116" s="38"/>
      <c r="K116" s="38"/>
      <c r="L116" s="40" t="str">
        <f aca="false">IF($A116="","",IF(LEN(IF($F116="","título, ","")&amp;IF($D116="","veículo, ","")&amp;IF($I116="","tom, ","")&amp;IF($J116="","link, ","")&amp;IF($G116="","alcance, ",""))=0,"OK","Falta "&amp;LEFT(IF($F116="","título, ","")&amp;IF($D116="","veículo, ","")&amp;IF($I116="","tom, ","")&amp;IF($J116="","link, ","")&amp;IF($G116="","alcance, ",""),LEN(IF($F116="","título, ","")&amp;IF($D116="","veículo, ","")&amp;IF($I116="","tom, ","")&amp;IF($J116="","link, ","")&amp;IF($G116="","alcance, ",""))-2)))</f>
        <v/>
      </c>
      <c r="M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8"/>
      <c r="G117" s="42"/>
      <c r="H117" s="42"/>
      <c r="I117" s="38"/>
      <c r="J117" s="38"/>
      <c r="K117" s="38"/>
      <c r="L117" s="40" t="str">
        <f aca="false">IF($A117="","",IF(LEN(IF($F117="","título, ","")&amp;IF($D117="","veículo, ","")&amp;IF($I117="","tom, ","")&amp;IF($J117="","link, ","")&amp;IF($G117="","alcance, ",""))=0,"OK","Falta "&amp;LEFT(IF($F117="","título, ","")&amp;IF($D117="","veículo, ","")&amp;IF($I117="","tom, ","")&amp;IF($J117="","link, ","")&amp;IF($G117="","alcance, ",""),LEN(IF($F117="","título, ","")&amp;IF($D117="","veículo, ","")&amp;IF($I117="","tom, ","")&amp;IF($J117="","link, ","")&amp;IF($G117="","alcance, ",""))-2)))</f>
        <v/>
      </c>
      <c r="M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8"/>
      <c r="G118" s="42"/>
      <c r="H118" s="42"/>
      <c r="I118" s="38"/>
      <c r="J118" s="38"/>
      <c r="K118" s="38"/>
      <c r="L118" s="40" t="str">
        <f aca="false">IF($A118="","",IF(LEN(IF($F118="","título, ","")&amp;IF($D118="","veículo, ","")&amp;IF($I118="","tom, ","")&amp;IF($J118="","link, ","")&amp;IF($G118="","alcance, ",""))=0,"OK","Falta "&amp;LEFT(IF($F118="","título, ","")&amp;IF($D118="","veículo, ","")&amp;IF($I118="","tom, ","")&amp;IF($J118="","link, ","")&amp;IF($G118="","alcance, ",""),LEN(IF($F118="","título, ","")&amp;IF($D118="","veículo, ","")&amp;IF($I118="","tom, ","")&amp;IF($J118="","link, ","")&amp;IF($G118="","alcance, ",""))-2)))</f>
        <v/>
      </c>
      <c r="M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8"/>
      <c r="G119" s="42"/>
      <c r="H119" s="42"/>
      <c r="I119" s="38"/>
      <c r="J119" s="38"/>
      <c r="K119" s="38"/>
      <c r="L119" s="40" t="str">
        <f aca="false">IF($A119="","",IF(LEN(IF($F119="","título, ","")&amp;IF($D119="","veículo, ","")&amp;IF($I119="","tom, ","")&amp;IF($J119="","link, ","")&amp;IF($G119="","alcance, ",""))=0,"OK","Falta "&amp;LEFT(IF($F119="","título, ","")&amp;IF($D119="","veículo, ","")&amp;IF($I119="","tom, ","")&amp;IF($J119="","link, ","")&amp;IF($G119="","alcance, ",""),LEN(IF($F119="","título, ","")&amp;IF($D119="","veículo, ","")&amp;IF($I119="","tom, ","")&amp;IF($J119="","link, ","")&amp;IF($G119="","alcance, ",""))-2)))</f>
        <v/>
      </c>
      <c r="M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8"/>
      <c r="G120" s="42"/>
      <c r="H120" s="42"/>
      <c r="I120" s="38"/>
      <c r="J120" s="38"/>
      <c r="K120" s="38"/>
      <c r="L120" s="40" t="str">
        <f aca="false">IF($A120="","",IF(LEN(IF($F120="","título, ","")&amp;IF($D120="","veículo, ","")&amp;IF($I120="","tom, ","")&amp;IF($J120="","link, ","")&amp;IF($G120="","alcance, ",""))=0,"OK","Falta "&amp;LEFT(IF($F120="","título, ","")&amp;IF($D120="","veículo, ","")&amp;IF($I120="","tom, ","")&amp;IF($J120="","link, ","")&amp;IF($G120="","alcance, ",""),LEN(IF($F120="","título, ","")&amp;IF($D120="","veículo, ","")&amp;IF($I120="","tom, ","")&amp;IF($J120="","link, ","")&amp;IF($G120="","alcance, ",""))-2)))</f>
        <v/>
      </c>
      <c r="M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8"/>
      <c r="G121" s="42"/>
      <c r="H121" s="42"/>
      <c r="I121" s="38"/>
      <c r="J121" s="38"/>
      <c r="K121" s="38"/>
      <c r="L121" s="40" t="str">
        <f aca="false">IF($A121="","",IF(LEN(IF($F121="","título, ","")&amp;IF($D121="","veículo, ","")&amp;IF($I121="","tom, ","")&amp;IF($J121="","link, ","")&amp;IF($G121="","alcance, ",""))=0,"OK","Falta "&amp;LEFT(IF($F121="","título, ","")&amp;IF($D121="","veículo, ","")&amp;IF($I121="","tom, ","")&amp;IF($J121="","link, ","")&amp;IF($G121="","alcance, ",""),LEN(IF($F121="","título, ","")&amp;IF($D121="","veículo, ","")&amp;IF($I121="","tom, ","")&amp;IF($J121="","link, ","")&amp;IF($G121="","alcance, ",""))-2)))</f>
        <v/>
      </c>
      <c r="M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8"/>
      <c r="G122" s="42"/>
      <c r="H122" s="42"/>
      <c r="I122" s="38"/>
      <c r="J122" s="38"/>
      <c r="K122" s="38"/>
      <c r="L122" s="40" t="str">
        <f aca="false">IF($A122="","",IF(LEN(IF($F122="","título, ","")&amp;IF($D122="","veículo, ","")&amp;IF($I122="","tom, ","")&amp;IF($J122="","link, ","")&amp;IF($G122="","alcance, ",""))=0,"OK","Falta "&amp;LEFT(IF($F122="","título, ","")&amp;IF($D122="","veículo, ","")&amp;IF($I122="","tom, ","")&amp;IF($J122="","link, ","")&amp;IF($G122="","alcance, ",""),LEN(IF($F122="","título, ","")&amp;IF($D122="","veículo, ","")&amp;IF($I122="","tom, ","")&amp;IF($J122="","link, ","")&amp;IF($G122="","alcance, ",""))-2)))</f>
        <v/>
      </c>
      <c r="M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8"/>
      <c r="G123" s="42"/>
      <c r="H123" s="42"/>
      <c r="I123" s="38"/>
      <c r="J123" s="38"/>
      <c r="K123" s="38"/>
      <c r="L123" s="40" t="str">
        <f aca="false">IF($A123="","",IF(LEN(IF($F123="","título, ","")&amp;IF($D123="","veículo, ","")&amp;IF($I123="","tom, ","")&amp;IF($J123="","link, ","")&amp;IF($G123="","alcance, ",""))=0,"OK","Falta "&amp;LEFT(IF($F123="","título, ","")&amp;IF($D123="","veículo, ","")&amp;IF($I123="","tom, ","")&amp;IF($J123="","link, ","")&amp;IF($G123="","alcance, ",""),LEN(IF($F123="","título, ","")&amp;IF($D123="","veículo, ","")&amp;IF($I123="","tom, ","")&amp;IF($J123="","link, ","")&amp;IF($G123="","alcance, ",""))-2)))</f>
        <v/>
      </c>
      <c r="M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8"/>
      <c r="G124" s="42"/>
      <c r="H124" s="42"/>
      <c r="I124" s="38"/>
      <c r="J124" s="38"/>
      <c r="K124" s="38"/>
      <c r="L124" s="40" t="str">
        <f aca="false">IF($A124="","",IF(LEN(IF($F124="","título, ","")&amp;IF($D124="","veículo, ","")&amp;IF($I124="","tom, ","")&amp;IF($J124="","link, ","")&amp;IF($G124="","alcance, ",""))=0,"OK","Falta "&amp;LEFT(IF($F124="","título, ","")&amp;IF($D124="","veículo, ","")&amp;IF($I124="","tom, ","")&amp;IF($J124="","link, ","")&amp;IF($G124="","alcance, ",""),LEN(IF($F124="","título, ","")&amp;IF($D124="","veículo, ","")&amp;IF($I124="","tom, ","")&amp;IF($J124="","link, ","")&amp;IF($G124="","alcance, ",""))-2)))</f>
        <v/>
      </c>
      <c r="M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8"/>
      <c r="G125" s="42"/>
      <c r="H125" s="42"/>
      <c r="I125" s="38"/>
      <c r="J125" s="38"/>
      <c r="K125" s="38"/>
      <c r="L125" s="40" t="str">
        <f aca="false">IF($A125="","",IF(LEN(IF($F125="","título, ","")&amp;IF($D125="","veículo, ","")&amp;IF($I125="","tom, ","")&amp;IF($J125="","link, ","")&amp;IF($G125="","alcance, ",""))=0,"OK","Falta "&amp;LEFT(IF($F125="","título, ","")&amp;IF($D125="","veículo, ","")&amp;IF($I125="","tom, ","")&amp;IF($J125="","link, ","")&amp;IF($G125="","alcance, ",""),LEN(IF($F125="","título, ","")&amp;IF($D125="","veículo, ","")&amp;IF($I125="","tom, ","")&amp;IF($J125="","link, ","")&amp;IF($G125="","alcance, ",""))-2)))</f>
        <v/>
      </c>
      <c r="M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8"/>
      <c r="G126" s="42"/>
      <c r="H126" s="42"/>
      <c r="I126" s="38"/>
      <c r="J126" s="38"/>
      <c r="K126" s="38"/>
      <c r="L126" s="40" t="str">
        <f aca="false">IF($A126="","",IF(LEN(IF($F126="","título, ","")&amp;IF($D126="","veículo, ","")&amp;IF($I126="","tom, ","")&amp;IF($J126="","link, ","")&amp;IF($G126="","alcance, ",""))=0,"OK","Falta "&amp;LEFT(IF($F126="","título, ","")&amp;IF($D126="","veículo, ","")&amp;IF($I126="","tom, ","")&amp;IF($J126="","link, ","")&amp;IF($G126="","alcance, ",""),LEN(IF($F126="","título, ","")&amp;IF($D126="","veículo, ","")&amp;IF($I126="","tom, ","")&amp;IF($J126="","link, ","")&amp;IF($G126="","alcance, ",""))-2)))</f>
        <v/>
      </c>
      <c r="M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8"/>
      <c r="G127" s="42"/>
      <c r="H127" s="42"/>
      <c r="I127" s="38"/>
      <c r="J127" s="38"/>
      <c r="K127" s="38"/>
      <c r="L127" s="40" t="str">
        <f aca="false">IF($A127="","",IF(LEN(IF($F127="","título, ","")&amp;IF($D127="","veículo, ","")&amp;IF($I127="","tom, ","")&amp;IF($J127="","link, ","")&amp;IF($G127="","alcance, ",""))=0,"OK","Falta "&amp;LEFT(IF($F127="","título, ","")&amp;IF($D127="","veículo, ","")&amp;IF($I127="","tom, ","")&amp;IF($J127="","link, ","")&amp;IF($G127="","alcance, ",""),LEN(IF($F127="","título, ","")&amp;IF($D127="","veículo, ","")&amp;IF($I127="","tom, ","")&amp;IF($J127="","link, ","")&amp;IF($G127="","alcance, ",""))-2)))</f>
        <v/>
      </c>
      <c r="M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8"/>
      <c r="G128" s="42"/>
      <c r="H128" s="42"/>
      <c r="I128" s="38"/>
      <c r="J128" s="38"/>
      <c r="K128" s="38"/>
      <c r="L128" s="40" t="str">
        <f aca="false">IF($A128="","",IF(LEN(IF($F128="","título, ","")&amp;IF($D128="","veículo, ","")&amp;IF($I128="","tom, ","")&amp;IF($J128="","link, ","")&amp;IF($G128="","alcance, ",""))=0,"OK","Falta "&amp;LEFT(IF($F128="","título, ","")&amp;IF($D128="","veículo, ","")&amp;IF($I128="","tom, ","")&amp;IF($J128="","link, ","")&amp;IF($G128="","alcance, ",""),LEN(IF($F128="","título, ","")&amp;IF($D128="","veículo, ","")&amp;IF($I128="","tom, ","")&amp;IF($J128="","link, ","")&amp;IF($G128="","alcance, ",""))-2)))</f>
        <v/>
      </c>
      <c r="M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8"/>
      <c r="G129" s="42"/>
      <c r="H129" s="42"/>
      <c r="I129" s="38"/>
      <c r="J129" s="38"/>
      <c r="K129" s="38"/>
      <c r="L129" s="40" t="str">
        <f aca="false">IF($A129="","",IF(LEN(IF($F129="","título, ","")&amp;IF($D129="","veículo, ","")&amp;IF($I129="","tom, ","")&amp;IF($J129="","link, ","")&amp;IF($G129="","alcance, ",""))=0,"OK","Falta "&amp;LEFT(IF($F129="","título, ","")&amp;IF($D129="","veículo, ","")&amp;IF($I129="","tom, ","")&amp;IF($J129="","link, ","")&amp;IF($G129="","alcance, ",""),LEN(IF($F129="","título, ","")&amp;IF($D129="","veículo, ","")&amp;IF($I129="","tom, ","")&amp;IF($J129="","link, ","")&amp;IF($G129="","alcance, ",""))-2)))</f>
        <v/>
      </c>
      <c r="M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8"/>
      <c r="G130" s="42"/>
      <c r="H130" s="42"/>
      <c r="I130" s="38"/>
      <c r="J130" s="38"/>
      <c r="K130" s="38"/>
      <c r="L130" s="40" t="str">
        <f aca="false">IF($A130="","",IF(LEN(IF($F130="","título, ","")&amp;IF($D130="","veículo, ","")&amp;IF($I130="","tom, ","")&amp;IF($J130="","link, ","")&amp;IF($G130="","alcance, ",""))=0,"OK","Falta "&amp;LEFT(IF($F130="","título, ","")&amp;IF($D130="","veículo, ","")&amp;IF($I130="","tom, ","")&amp;IF($J130="","link, ","")&amp;IF($G130="","alcance, ",""),LEN(IF($F130="","título, ","")&amp;IF($D130="","veículo, ","")&amp;IF($I130="","tom, ","")&amp;IF($J130="","link, ","")&amp;IF($G130="","alcance, ",""))-2)))</f>
        <v/>
      </c>
      <c r="M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8"/>
      <c r="G131" s="42"/>
      <c r="H131" s="42"/>
      <c r="I131" s="38"/>
      <c r="J131" s="38"/>
      <c r="K131" s="38"/>
      <c r="L131" s="40" t="str">
        <f aca="false">IF($A131="","",IF(LEN(IF($F131="","título, ","")&amp;IF($D131="","veículo, ","")&amp;IF($I131="","tom, ","")&amp;IF($J131="","link, ","")&amp;IF($G131="","alcance, ",""))=0,"OK","Falta "&amp;LEFT(IF($F131="","título, ","")&amp;IF($D131="","veículo, ","")&amp;IF($I131="","tom, ","")&amp;IF($J131="","link, ","")&amp;IF($G131="","alcance, ",""),LEN(IF($F131="","título, ","")&amp;IF($D131="","veículo, ","")&amp;IF($I131="","tom, ","")&amp;IF($J131="","link, ","")&amp;IF($G131="","alcance, ",""))-2)))</f>
        <v/>
      </c>
      <c r="M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8"/>
      <c r="G132" s="42"/>
      <c r="H132" s="42"/>
      <c r="I132" s="38"/>
      <c r="J132" s="38"/>
      <c r="K132" s="38"/>
      <c r="L132" s="40" t="str">
        <f aca="false">IF($A132="","",IF(LEN(IF($F132="","título, ","")&amp;IF($D132="","veículo, ","")&amp;IF($I132="","tom, ","")&amp;IF($J132="","link, ","")&amp;IF($G132="","alcance, ",""))=0,"OK","Falta "&amp;LEFT(IF($F132="","título, ","")&amp;IF($D132="","veículo, ","")&amp;IF($I132="","tom, ","")&amp;IF($J132="","link, ","")&amp;IF($G132="","alcance, ",""),LEN(IF($F132="","título, ","")&amp;IF($D132="","veículo, ","")&amp;IF($I132="","tom, ","")&amp;IF($J132="","link, ","")&amp;IF($G132="","alcance, ",""))-2)))</f>
        <v/>
      </c>
      <c r="M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8"/>
      <c r="G133" s="42"/>
      <c r="H133" s="42"/>
      <c r="I133" s="38"/>
      <c r="J133" s="38"/>
      <c r="K133" s="38"/>
      <c r="L133" s="40" t="str">
        <f aca="false">IF($A133="","",IF(LEN(IF($F133="","título, ","")&amp;IF($D133="","veículo, ","")&amp;IF($I133="","tom, ","")&amp;IF($J133="","link, ","")&amp;IF($G133="","alcance, ",""))=0,"OK","Falta "&amp;LEFT(IF($F133="","título, ","")&amp;IF($D133="","veículo, ","")&amp;IF($I133="","tom, ","")&amp;IF($J133="","link, ","")&amp;IF($G133="","alcance, ",""),LEN(IF($F133="","título, ","")&amp;IF($D133="","veículo, ","")&amp;IF($I133="","tom, ","")&amp;IF($J133="","link, ","")&amp;IF($G133="","alcance, ",""))-2)))</f>
        <v/>
      </c>
      <c r="M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8"/>
      <c r="G134" s="42"/>
      <c r="H134" s="42"/>
      <c r="I134" s="38"/>
      <c r="J134" s="38"/>
      <c r="K134" s="38"/>
      <c r="L134" s="40" t="str">
        <f aca="false">IF($A134="","",IF(LEN(IF($F134="","título, ","")&amp;IF($D134="","veículo, ","")&amp;IF($I134="","tom, ","")&amp;IF($J134="","link, ","")&amp;IF($G134="","alcance, ",""))=0,"OK","Falta "&amp;LEFT(IF($F134="","título, ","")&amp;IF($D134="","veículo, ","")&amp;IF($I134="","tom, ","")&amp;IF($J134="","link, ","")&amp;IF($G134="","alcance, ",""),LEN(IF($F134="","título, ","")&amp;IF($D134="","veículo, ","")&amp;IF($I134="","tom, ","")&amp;IF($J134="","link, ","")&amp;IF($G134="","alcance, ",""))-2)))</f>
        <v/>
      </c>
      <c r="M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8"/>
      <c r="G135" s="42"/>
      <c r="H135" s="42"/>
      <c r="I135" s="38"/>
      <c r="J135" s="38"/>
      <c r="K135" s="38"/>
      <c r="L135" s="40" t="str">
        <f aca="false">IF($A135="","",IF(LEN(IF($F135="","título, ","")&amp;IF($D135="","veículo, ","")&amp;IF($I135="","tom, ","")&amp;IF($J135="","link, ","")&amp;IF($G135="","alcance, ",""))=0,"OK","Falta "&amp;LEFT(IF($F135="","título, ","")&amp;IF($D135="","veículo, ","")&amp;IF($I135="","tom, ","")&amp;IF($J135="","link, ","")&amp;IF($G135="","alcance, ",""),LEN(IF($F135="","título, ","")&amp;IF($D135="","veículo, ","")&amp;IF($I135="","tom, ","")&amp;IF($J135="","link, ","")&amp;IF($G135="","alcance, ",""))-2)))</f>
        <v/>
      </c>
      <c r="M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8"/>
      <c r="G136" s="42"/>
      <c r="H136" s="42"/>
      <c r="I136" s="38"/>
      <c r="J136" s="38"/>
      <c r="K136" s="38"/>
      <c r="L136" s="40" t="str">
        <f aca="false">IF($A136="","",IF(LEN(IF($F136="","título, ","")&amp;IF($D136="","veículo, ","")&amp;IF($I136="","tom, ","")&amp;IF($J136="","link, ","")&amp;IF($G136="","alcance, ",""))=0,"OK","Falta "&amp;LEFT(IF($F136="","título, ","")&amp;IF($D136="","veículo, ","")&amp;IF($I136="","tom, ","")&amp;IF($J136="","link, ","")&amp;IF($G136="","alcance, ",""),LEN(IF($F136="","título, ","")&amp;IF($D136="","veículo, ","")&amp;IF($I136="","tom, ","")&amp;IF($J136="","link, ","")&amp;IF($G136="","alcance, ",""))-2)))</f>
        <v/>
      </c>
      <c r="M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8"/>
      <c r="G137" s="42"/>
      <c r="H137" s="42"/>
      <c r="I137" s="38"/>
      <c r="J137" s="38"/>
      <c r="K137" s="38"/>
      <c r="L137" s="40" t="str">
        <f aca="false">IF($A137="","",IF(LEN(IF($F137="","título, ","")&amp;IF($D137="","veículo, ","")&amp;IF($I137="","tom, ","")&amp;IF($J137="","link, ","")&amp;IF($G137="","alcance, ",""))=0,"OK","Falta "&amp;LEFT(IF($F137="","título, ","")&amp;IF($D137="","veículo, ","")&amp;IF($I137="","tom, ","")&amp;IF($J137="","link, ","")&amp;IF($G137="","alcance, ",""),LEN(IF($F137="","título, ","")&amp;IF($D137="","veículo, ","")&amp;IF($I137="","tom, ","")&amp;IF($J137="","link, ","")&amp;IF($G137="","alcance, ",""))-2)))</f>
        <v/>
      </c>
      <c r="M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8"/>
      <c r="G138" s="42"/>
      <c r="H138" s="42"/>
      <c r="I138" s="38"/>
      <c r="J138" s="38"/>
      <c r="K138" s="38"/>
      <c r="L138" s="40" t="str">
        <f aca="false">IF($A138="","",IF(LEN(IF($F138="","título, ","")&amp;IF($D138="","veículo, ","")&amp;IF($I138="","tom, ","")&amp;IF($J138="","link, ","")&amp;IF($G138="","alcance, ",""))=0,"OK","Falta "&amp;LEFT(IF($F138="","título, ","")&amp;IF($D138="","veículo, ","")&amp;IF($I138="","tom, ","")&amp;IF($J138="","link, ","")&amp;IF($G138="","alcance, ",""),LEN(IF($F138="","título, ","")&amp;IF($D138="","veículo, ","")&amp;IF($I138="","tom, ","")&amp;IF($J138="","link, ","")&amp;IF($G138="","alcance, ",""))-2)))</f>
        <v/>
      </c>
      <c r="M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8"/>
      <c r="G139" s="42"/>
      <c r="H139" s="42"/>
      <c r="I139" s="38"/>
      <c r="J139" s="38"/>
      <c r="K139" s="38"/>
      <c r="L139" s="40" t="str">
        <f aca="false">IF($A139="","",IF(LEN(IF($F139="","título, ","")&amp;IF($D139="","veículo, ","")&amp;IF($I139="","tom, ","")&amp;IF($J139="","link, ","")&amp;IF($G139="","alcance, ",""))=0,"OK","Falta "&amp;LEFT(IF($F139="","título, ","")&amp;IF($D139="","veículo, ","")&amp;IF($I139="","tom, ","")&amp;IF($J139="","link, ","")&amp;IF($G139="","alcance, ",""),LEN(IF($F139="","título, ","")&amp;IF($D139="","veículo, ","")&amp;IF($I139="","tom, ","")&amp;IF($J139="","link, ","")&amp;IF($G139="","alcance, ",""))-2)))</f>
        <v/>
      </c>
      <c r="M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8"/>
      <c r="G140" s="42"/>
      <c r="H140" s="42"/>
      <c r="I140" s="38"/>
      <c r="J140" s="38"/>
      <c r="K140" s="38"/>
      <c r="L140" s="40" t="str">
        <f aca="false">IF($A140="","",IF(LEN(IF($F140="","título, ","")&amp;IF($D140="","veículo, ","")&amp;IF($I140="","tom, ","")&amp;IF($J140="","link, ","")&amp;IF($G140="","alcance, ",""))=0,"OK","Falta "&amp;LEFT(IF($F140="","título, ","")&amp;IF($D140="","veículo, ","")&amp;IF($I140="","tom, ","")&amp;IF($J140="","link, ","")&amp;IF($G140="","alcance, ",""),LEN(IF($F140="","título, ","")&amp;IF($D140="","veículo, ","")&amp;IF($I140="","tom, ","")&amp;IF($J140="","link, ","")&amp;IF($G140="","alcance, ",""))-2)))</f>
        <v/>
      </c>
      <c r="M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8"/>
      <c r="G141" s="42"/>
      <c r="H141" s="42"/>
      <c r="I141" s="38"/>
      <c r="J141" s="38"/>
      <c r="K141" s="38"/>
      <c r="L141" s="40" t="str">
        <f aca="false">IF($A141="","",IF(LEN(IF($F141="","título, ","")&amp;IF($D141="","veículo, ","")&amp;IF($I141="","tom, ","")&amp;IF($J141="","link, ","")&amp;IF($G141="","alcance, ",""))=0,"OK","Falta "&amp;LEFT(IF($F141="","título, ","")&amp;IF($D141="","veículo, ","")&amp;IF($I141="","tom, ","")&amp;IF($J141="","link, ","")&amp;IF($G141="","alcance, ",""),LEN(IF($F141="","título, ","")&amp;IF($D141="","veículo, ","")&amp;IF($I141="","tom, ","")&amp;IF($J141="","link, ","")&amp;IF($G141="","alcance, ",""))-2)))</f>
        <v/>
      </c>
      <c r="M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8"/>
      <c r="G142" s="42"/>
      <c r="H142" s="42"/>
      <c r="I142" s="38"/>
      <c r="J142" s="38"/>
      <c r="K142" s="38"/>
      <c r="L142" s="40" t="str">
        <f aca="false">IF($A142="","",IF(LEN(IF($F142="","título, ","")&amp;IF($D142="","veículo, ","")&amp;IF($I142="","tom, ","")&amp;IF($J142="","link, ","")&amp;IF($G142="","alcance, ",""))=0,"OK","Falta "&amp;LEFT(IF($F142="","título, ","")&amp;IF($D142="","veículo, ","")&amp;IF($I142="","tom, ","")&amp;IF($J142="","link, ","")&amp;IF($G142="","alcance, ",""),LEN(IF($F142="","título, ","")&amp;IF($D142="","veículo, ","")&amp;IF($I142="","tom, ","")&amp;IF($J142="","link, ","")&amp;IF($G142="","alcance, ",""))-2)))</f>
        <v/>
      </c>
      <c r="M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8"/>
      <c r="G143" s="42"/>
      <c r="H143" s="42"/>
      <c r="I143" s="38"/>
      <c r="J143" s="38"/>
      <c r="K143" s="38"/>
      <c r="L143" s="40" t="str">
        <f aca="false">IF($A143="","",IF(LEN(IF($F143="","título, ","")&amp;IF($D143="","veículo, ","")&amp;IF($I143="","tom, ","")&amp;IF($J143="","link, ","")&amp;IF($G143="","alcance, ",""))=0,"OK","Falta "&amp;LEFT(IF($F143="","título, ","")&amp;IF($D143="","veículo, ","")&amp;IF($I143="","tom, ","")&amp;IF($J143="","link, ","")&amp;IF($G143="","alcance, ",""),LEN(IF($F143="","título, ","")&amp;IF($D143="","veículo, ","")&amp;IF($I143="","tom, ","")&amp;IF($J143="","link, ","")&amp;IF($G143="","alcance, ",""))-2)))</f>
        <v/>
      </c>
      <c r="M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8"/>
      <c r="G144" s="42"/>
      <c r="H144" s="42"/>
      <c r="I144" s="38"/>
      <c r="J144" s="38"/>
      <c r="K144" s="38"/>
      <c r="L144" s="40" t="str">
        <f aca="false">IF($A144="","",IF(LEN(IF($F144="","título, ","")&amp;IF($D144="","veículo, ","")&amp;IF($I144="","tom, ","")&amp;IF($J144="","link, ","")&amp;IF($G144="","alcance, ",""))=0,"OK","Falta "&amp;LEFT(IF($F144="","título, ","")&amp;IF($D144="","veículo, ","")&amp;IF($I144="","tom, ","")&amp;IF($J144="","link, ","")&amp;IF($G144="","alcance, ",""),LEN(IF($F144="","título, ","")&amp;IF($D144="","veículo, ","")&amp;IF($I144="","tom, ","")&amp;IF($J144="","link, ","")&amp;IF($G144="","alcance, ",""))-2)))</f>
        <v/>
      </c>
      <c r="M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8"/>
      <c r="G145" s="42"/>
      <c r="H145" s="42"/>
      <c r="I145" s="38"/>
      <c r="J145" s="38"/>
      <c r="K145" s="38"/>
      <c r="L145" s="40" t="str">
        <f aca="false">IF($A145="","",IF(LEN(IF($F145="","título, ","")&amp;IF($D145="","veículo, ","")&amp;IF($I145="","tom, ","")&amp;IF($J145="","link, ","")&amp;IF($G145="","alcance, ",""))=0,"OK","Falta "&amp;LEFT(IF($F145="","título, ","")&amp;IF($D145="","veículo, ","")&amp;IF($I145="","tom, ","")&amp;IF($J145="","link, ","")&amp;IF($G145="","alcance, ",""),LEN(IF($F145="","título, ","")&amp;IF($D145="","veículo, ","")&amp;IF($I145="","tom, ","")&amp;IF($J145="","link, ","")&amp;IF($G145="","alcance, ",""))-2)))</f>
        <v/>
      </c>
      <c r="M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8"/>
      <c r="G146" s="42"/>
      <c r="H146" s="42"/>
      <c r="I146" s="38"/>
      <c r="J146" s="38"/>
      <c r="K146" s="38"/>
      <c r="L146" s="40" t="str">
        <f aca="false">IF($A146="","",IF(LEN(IF($F146="","título, ","")&amp;IF($D146="","veículo, ","")&amp;IF($I146="","tom, ","")&amp;IF($J146="","link, ","")&amp;IF($G146="","alcance, ",""))=0,"OK","Falta "&amp;LEFT(IF($F146="","título, ","")&amp;IF($D146="","veículo, ","")&amp;IF($I146="","tom, ","")&amp;IF($J146="","link, ","")&amp;IF($G146="","alcance, ",""),LEN(IF($F146="","título, ","")&amp;IF($D146="","veículo, ","")&amp;IF($I146="","tom, ","")&amp;IF($J146="","link, ","")&amp;IF($G146="","alcance, ",""))-2)))</f>
        <v/>
      </c>
      <c r="M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8"/>
      <c r="G147" s="42"/>
      <c r="H147" s="42"/>
      <c r="I147" s="38"/>
      <c r="J147" s="38"/>
      <c r="K147" s="38"/>
      <c r="L147" s="40" t="str">
        <f aca="false">IF($A147="","",IF(LEN(IF($F147="","título, ","")&amp;IF($D147="","veículo, ","")&amp;IF($I147="","tom, ","")&amp;IF($J147="","link, ","")&amp;IF($G147="","alcance, ",""))=0,"OK","Falta "&amp;LEFT(IF($F147="","título, ","")&amp;IF($D147="","veículo, ","")&amp;IF($I147="","tom, ","")&amp;IF($J147="","link, ","")&amp;IF($G147="","alcance, ",""),LEN(IF($F147="","título, ","")&amp;IF($D147="","veículo, ","")&amp;IF($I147="","tom, ","")&amp;IF($J147="","link, ","")&amp;IF($G147="","alcance, ",""))-2)))</f>
        <v/>
      </c>
      <c r="M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8"/>
      <c r="G148" s="42"/>
      <c r="H148" s="42"/>
      <c r="I148" s="38"/>
      <c r="J148" s="38"/>
      <c r="K148" s="38"/>
      <c r="L148" s="40" t="str">
        <f aca="false">IF($A148="","",IF(LEN(IF($F148="","título, ","")&amp;IF($D148="","veículo, ","")&amp;IF($I148="","tom, ","")&amp;IF($J148="","link, ","")&amp;IF($G148="","alcance, ",""))=0,"OK","Falta "&amp;LEFT(IF($F148="","título, ","")&amp;IF($D148="","veículo, ","")&amp;IF($I148="","tom, ","")&amp;IF($J148="","link, ","")&amp;IF($G148="","alcance, ",""),LEN(IF($F148="","título, ","")&amp;IF($D148="","veículo, ","")&amp;IF($I148="","tom, ","")&amp;IF($J148="","link, ","")&amp;IF($G148="","alcance, ",""))-2)))</f>
        <v/>
      </c>
      <c r="M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8"/>
      <c r="G149" s="42"/>
      <c r="H149" s="42"/>
      <c r="I149" s="38"/>
      <c r="J149" s="38"/>
      <c r="K149" s="38"/>
      <c r="L149" s="40" t="str">
        <f aca="false">IF($A149="","",IF(LEN(IF($F149="","título, ","")&amp;IF($D149="","veículo, ","")&amp;IF($I149="","tom, ","")&amp;IF($J149="","link, ","")&amp;IF($G149="","alcance, ",""))=0,"OK","Falta "&amp;LEFT(IF($F149="","título, ","")&amp;IF($D149="","veículo, ","")&amp;IF($I149="","tom, ","")&amp;IF($J149="","link, ","")&amp;IF($G149="","alcance, ",""),LEN(IF($F149="","título, ","")&amp;IF($D149="","veículo, ","")&amp;IF($I149="","tom, ","")&amp;IF($J149="","link, ","")&amp;IF($G149="","alcance, ",""))-2)))</f>
        <v/>
      </c>
      <c r="M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8"/>
      <c r="G150" s="42"/>
      <c r="H150" s="42"/>
      <c r="I150" s="38"/>
      <c r="J150" s="38"/>
      <c r="K150" s="38"/>
      <c r="L150" s="40" t="str">
        <f aca="false">IF($A150="","",IF(LEN(IF($F150="","título, ","")&amp;IF($D150="","veículo, ","")&amp;IF($I150="","tom, ","")&amp;IF($J150="","link, ","")&amp;IF($G150="","alcance, ",""))=0,"OK","Falta "&amp;LEFT(IF($F150="","título, ","")&amp;IF($D150="","veículo, ","")&amp;IF($I150="","tom, ","")&amp;IF($J150="","link, ","")&amp;IF($G150="","alcance, ",""),LEN(IF($F150="","título, ","")&amp;IF($D150="","veículo, ","")&amp;IF($I150="","tom, ","")&amp;IF($J150="","link, ","")&amp;IF($G150="","alcance, ",""))-2)))</f>
        <v/>
      </c>
      <c r="M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8"/>
      <c r="G151" s="42"/>
      <c r="H151" s="42"/>
      <c r="I151" s="38"/>
      <c r="J151" s="38"/>
      <c r="K151" s="38"/>
      <c r="L151" s="40" t="str">
        <f aca="false">IF($A151="","",IF(LEN(IF($F151="","título, ","")&amp;IF($D151="","veículo, ","")&amp;IF($I151="","tom, ","")&amp;IF($J151="","link, ","")&amp;IF($G151="","alcance, ",""))=0,"OK","Falta "&amp;LEFT(IF($F151="","título, ","")&amp;IF($D151="","veículo, ","")&amp;IF($I151="","tom, ","")&amp;IF($J151="","link, ","")&amp;IF($G151="","alcance, ",""),LEN(IF($F151="","título, ","")&amp;IF($D151="","veículo, ","")&amp;IF($I151="","tom, ","")&amp;IF($J151="","link, ","")&amp;IF($G151="","alcance, ",""))-2)))</f>
        <v/>
      </c>
      <c r="M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8"/>
      <c r="G152" s="42"/>
      <c r="H152" s="42"/>
      <c r="I152" s="38"/>
      <c r="J152" s="38"/>
      <c r="K152" s="38"/>
      <c r="L152" s="40" t="str">
        <f aca="false">IF($A152="","",IF(LEN(IF($F152="","título, ","")&amp;IF($D152="","veículo, ","")&amp;IF($I152="","tom, ","")&amp;IF($J152="","link, ","")&amp;IF($G152="","alcance, ",""))=0,"OK","Falta "&amp;LEFT(IF($F152="","título, ","")&amp;IF($D152="","veículo, ","")&amp;IF($I152="","tom, ","")&amp;IF($J152="","link, ","")&amp;IF($G152="","alcance, ",""),LEN(IF($F152="","título, ","")&amp;IF($D152="","veículo, ","")&amp;IF($I152="","tom, ","")&amp;IF($J152="","link, ","")&amp;IF($G152="","alcance, ",""))-2)))</f>
        <v/>
      </c>
      <c r="M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8"/>
      <c r="G153" s="42"/>
      <c r="H153" s="42"/>
      <c r="I153" s="38"/>
      <c r="J153" s="38"/>
      <c r="K153" s="38"/>
      <c r="L153" s="40" t="str">
        <f aca="false">IF($A153="","",IF(LEN(IF($F153="","título, ","")&amp;IF($D153="","veículo, ","")&amp;IF($I153="","tom, ","")&amp;IF($J153="","link, ","")&amp;IF($G153="","alcance, ",""))=0,"OK","Falta "&amp;LEFT(IF($F153="","título, ","")&amp;IF($D153="","veículo, ","")&amp;IF($I153="","tom, ","")&amp;IF($J153="","link, ","")&amp;IF($G153="","alcance, ",""),LEN(IF($F153="","título, ","")&amp;IF($D153="","veículo, ","")&amp;IF($I153="","tom, ","")&amp;IF($J153="","link, ","")&amp;IF($G153="","alcance, ",""))-2)))</f>
        <v/>
      </c>
      <c r="M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8"/>
      <c r="G154" s="42"/>
      <c r="H154" s="42"/>
      <c r="I154" s="38"/>
      <c r="J154" s="38"/>
      <c r="K154" s="38"/>
      <c r="L154" s="40" t="str">
        <f aca="false">IF($A154="","",IF(LEN(IF($F154="","título, ","")&amp;IF($D154="","veículo, ","")&amp;IF($I154="","tom, ","")&amp;IF($J154="","link, ","")&amp;IF($G154="","alcance, ",""))=0,"OK","Falta "&amp;LEFT(IF($F154="","título, ","")&amp;IF($D154="","veículo, ","")&amp;IF($I154="","tom, ","")&amp;IF($J154="","link, ","")&amp;IF($G154="","alcance, ",""),LEN(IF($F154="","título, ","")&amp;IF($D154="","veículo, ","")&amp;IF($I154="","tom, ","")&amp;IF($J154="","link, ","")&amp;IF($G154="","alcance, ",""))-2)))</f>
        <v/>
      </c>
      <c r="M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8"/>
      <c r="G155" s="42"/>
      <c r="H155" s="42"/>
      <c r="I155" s="38"/>
      <c r="J155" s="38"/>
      <c r="K155" s="38"/>
      <c r="L155" s="40" t="str">
        <f aca="false">IF($A155="","",IF(LEN(IF($F155="","título, ","")&amp;IF($D155="","veículo, ","")&amp;IF($I155="","tom, ","")&amp;IF($J155="","link, ","")&amp;IF($G155="","alcance, ",""))=0,"OK","Falta "&amp;LEFT(IF($F155="","título, ","")&amp;IF($D155="","veículo, ","")&amp;IF($I155="","tom, ","")&amp;IF($J155="","link, ","")&amp;IF($G155="","alcance, ",""),LEN(IF($F155="","título, ","")&amp;IF($D155="","veículo, ","")&amp;IF($I155="","tom, ","")&amp;IF($J155="","link, ","")&amp;IF($G155="","alcance, ",""))-2)))</f>
        <v/>
      </c>
      <c r="M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8"/>
      <c r="G156" s="42"/>
      <c r="H156" s="42"/>
      <c r="I156" s="38"/>
      <c r="J156" s="38"/>
      <c r="K156" s="38"/>
      <c r="L156" s="40" t="str">
        <f aca="false">IF($A156="","",IF(LEN(IF($F156="","título, ","")&amp;IF($D156="","veículo, ","")&amp;IF($I156="","tom, ","")&amp;IF($J156="","link, ","")&amp;IF($G156="","alcance, ",""))=0,"OK","Falta "&amp;LEFT(IF($F156="","título, ","")&amp;IF($D156="","veículo, ","")&amp;IF($I156="","tom, ","")&amp;IF($J156="","link, ","")&amp;IF($G156="","alcance, ",""),LEN(IF($F156="","título, ","")&amp;IF($D156="","veículo, ","")&amp;IF($I156="","tom, ","")&amp;IF($J156="","link, ","")&amp;IF($G156="","alcance, ",""))-2)))</f>
        <v/>
      </c>
      <c r="M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8"/>
      <c r="G157" s="42"/>
      <c r="H157" s="42"/>
      <c r="I157" s="38"/>
      <c r="J157" s="38"/>
      <c r="K157" s="38"/>
      <c r="L157" s="40" t="str">
        <f aca="false">IF($A157="","",IF(LEN(IF($F157="","título, ","")&amp;IF($D157="","veículo, ","")&amp;IF($I157="","tom, ","")&amp;IF($J157="","link, ","")&amp;IF($G157="","alcance, ",""))=0,"OK","Falta "&amp;LEFT(IF($F157="","título, ","")&amp;IF($D157="","veículo, ","")&amp;IF($I157="","tom, ","")&amp;IF($J157="","link, ","")&amp;IF($G157="","alcance, ",""),LEN(IF($F157="","título, ","")&amp;IF($D157="","veículo, ","")&amp;IF($I157="","tom, ","")&amp;IF($J157="","link, ","")&amp;IF($G157="","alcance, ",""))-2)))</f>
        <v/>
      </c>
      <c r="M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8"/>
      <c r="G158" s="42"/>
      <c r="H158" s="42"/>
      <c r="I158" s="38"/>
      <c r="J158" s="38"/>
      <c r="K158" s="38"/>
      <c r="L158" s="40" t="str">
        <f aca="false">IF($A158="","",IF(LEN(IF($F158="","título, ","")&amp;IF($D158="","veículo, ","")&amp;IF($I158="","tom, ","")&amp;IF($J158="","link, ","")&amp;IF($G158="","alcance, ",""))=0,"OK","Falta "&amp;LEFT(IF($F158="","título, ","")&amp;IF($D158="","veículo, ","")&amp;IF($I158="","tom, ","")&amp;IF($J158="","link, ","")&amp;IF($G158="","alcance, ",""),LEN(IF($F158="","título, ","")&amp;IF($D158="","veículo, ","")&amp;IF($I158="","tom, ","")&amp;IF($J158="","link, ","")&amp;IF($G158="","alcance, ",""))-2)))</f>
        <v/>
      </c>
      <c r="M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8"/>
      <c r="G159" s="42"/>
      <c r="H159" s="42"/>
      <c r="I159" s="38"/>
      <c r="J159" s="38"/>
      <c r="K159" s="38"/>
      <c r="L159" s="40" t="str">
        <f aca="false">IF($A159="","",IF(LEN(IF($F159="","título, ","")&amp;IF($D159="","veículo, ","")&amp;IF($I159="","tom, ","")&amp;IF($J159="","link, ","")&amp;IF($G159="","alcance, ",""))=0,"OK","Falta "&amp;LEFT(IF($F159="","título, ","")&amp;IF($D159="","veículo, ","")&amp;IF($I159="","tom, ","")&amp;IF($J159="","link, ","")&amp;IF($G159="","alcance, ",""),LEN(IF($F159="","título, ","")&amp;IF($D159="","veículo, ","")&amp;IF($I159="","tom, ","")&amp;IF($J159="","link, ","")&amp;IF($G159="","alcance, ",""))-2)))</f>
        <v/>
      </c>
      <c r="M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8"/>
      <c r="G160" s="42"/>
      <c r="H160" s="42"/>
      <c r="I160" s="38"/>
      <c r="J160" s="38"/>
      <c r="K160" s="38"/>
      <c r="L160" s="40" t="str">
        <f aca="false">IF($A160="","",IF(LEN(IF($F160="","título, ","")&amp;IF($D160="","veículo, ","")&amp;IF($I160="","tom, ","")&amp;IF($J160="","link, ","")&amp;IF($G160="","alcance, ",""))=0,"OK","Falta "&amp;LEFT(IF($F160="","título, ","")&amp;IF($D160="","veículo, ","")&amp;IF($I160="","tom, ","")&amp;IF($J160="","link, ","")&amp;IF($G160="","alcance, ",""),LEN(IF($F160="","título, ","")&amp;IF($D160="","veículo, ","")&amp;IF($I160="","tom, ","")&amp;IF($J160="","link, ","")&amp;IF($G160="","alcance, ",""))-2)))</f>
        <v/>
      </c>
      <c r="M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8"/>
      <c r="G161" s="42"/>
      <c r="H161" s="42"/>
      <c r="I161" s="38"/>
      <c r="J161" s="38"/>
      <c r="K161" s="38"/>
      <c r="L161" s="40" t="str">
        <f aca="false">IF($A161="","",IF(LEN(IF($F161="","título, ","")&amp;IF($D161="","veículo, ","")&amp;IF($I161="","tom, ","")&amp;IF($J161="","link, ","")&amp;IF($G161="","alcance, ",""))=0,"OK","Falta "&amp;LEFT(IF($F161="","título, ","")&amp;IF($D161="","veículo, ","")&amp;IF($I161="","tom, ","")&amp;IF($J161="","link, ","")&amp;IF($G161="","alcance, ",""),LEN(IF($F161="","título, ","")&amp;IF($D161="","veículo, ","")&amp;IF($I161="","tom, ","")&amp;IF($J161="","link, ","")&amp;IF($G161="","alcance, ",""))-2)))</f>
        <v/>
      </c>
      <c r="M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8"/>
      <c r="G162" s="42"/>
      <c r="H162" s="42"/>
      <c r="I162" s="38"/>
      <c r="J162" s="38"/>
      <c r="K162" s="38"/>
      <c r="L162" s="40" t="str">
        <f aca="false">IF($A162="","",IF(LEN(IF($F162="","título, ","")&amp;IF($D162="","veículo, ","")&amp;IF($I162="","tom, ","")&amp;IF($J162="","link, ","")&amp;IF($G162="","alcance, ",""))=0,"OK","Falta "&amp;LEFT(IF($F162="","título, ","")&amp;IF($D162="","veículo, ","")&amp;IF($I162="","tom, ","")&amp;IF($J162="","link, ","")&amp;IF($G162="","alcance, ",""),LEN(IF($F162="","título, ","")&amp;IF($D162="","veículo, ","")&amp;IF($I162="","tom, ","")&amp;IF($J162="","link, ","")&amp;IF($G162="","alcance, ",""))-2)))</f>
        <v/>
      </c>
      <c r="M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8"/>
      <c r="G163" s="42"/>
      <c r="H163" s="42"/>
      <c r="I163" s="38"/>
      <c r="J163" s="38"/>
      <c r="K163" s="38"/>
      <c r="L163" s="40" t="str">
        <f aca="false">IF($A163="","",IF(LEN(IF($F163="","título, ","")&amp;IF($D163="","veículo, ","")&amp;IF($I163="","tom, ","")&amp;IF($J163="","link, ","")&amp;IF($G163="","alcance, ",""))=0,"OK","Falta "&amp;LEFT(IF($F163="","título, ","")&amp;IF($D163="","veículo, ","")&amp;IF($I163="","tom, ","")&amp;IF($J163="","link, ","")&amp;IF($G163="","alcance, ",""),LEN(IF($F163="","título, ","")&amp;IF($D163="","veículo, ","")&amp;IF($I163="","tom, ","")&amp;IF($J163="","link, ","")&amp;IF($G163="","alcance, ",""))-2)))</f>
        <v/>
      </c>
      <c r="M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8"/>
      <c r="G164" s="42"/>
      <c r="H164" s="42"/>
      <c r="I164" s="38"/>
      <c r="J164" s="38"/>
      <c r="K164" s="38"/>
      <c r="L164" s="40" t="str">
        <f aca="false">IF($A164="","",IF(LEN(IF($F164="","título, ","")&amp;IF($D164="","veículo, ","")&amp;IF($I164="","tom, ","")&amp;IF($J164="","link, ","")&amp;IF($G164="","alcance, ",""))=0,"OK","Falta "&amp;LEFT(IF($F164="","título, ","")&amp;IF($D164="","veículo, ","")&amp;IF($I164="","tom, ","")&amp;IF($J164="","link, ","")&amp;IF($G164="","alcance, ",""),LEN(IF($F164="","título, ","")&amp;IF($D164="","veículo, ","")&amp;IF($I164="","tom, ","")&amp;IF($J164="","link, ","")&amp;IF($G164="","alcance, ",""))-2)))</f>
        <v/>
      </c>
      <c r="M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8"/>
      <c r="G165" s="42"/>
      <c r="H165" s="42"/>
      <c r="I165" s="38"/>
      <c r="J165" s="38"/>
      <c r="K165" s="38"/>
      <c r="L165" s="40" t="str">
        <f aca="false">IF($A165="","",IF(LEN(IF($F165="","título, ","")&amp;IF($D165="","veículo, ","")&amp;IF($I165="","tom, ","")&amp;IF($J165="","link, ","")&amp;IF($G165="","alcance, ",""))=0,"OK","Falta "&amp;LEFT(IF($F165="","título, ","")&amp;IF($D165="","veículo, ","")&amp;IF($I165="","tom, ","")&amp;IF($J165="","link, ","")&amp;IF($G165="","alcance, ",""),LEN(IF($F165="","título, ","")&amp;IF($D165="","veículo, ","")&amp;IF($I165="","tom, ","")&amp;IF($J165="","link, ","")&amp;IF($G165="","alcance, ",""))-2)))</f>
        <v/>
      </c>
      <c r="M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8"/>
      <c r="G166" s="42"/>
      <c r="H166" s="42"/>
      <c r="I166" s="38"/>
      <c r="J166" s="38"/>
      <c r="K166" s="38"/>
      <c r="L166" s="40" t="str">
        <f aca="false">IF($A166="","",IF(LEN(IF($F166="","título, ","")&amp;IF($D166="","veículo, ","")&amp;IF($I166="","tom, ","")&amp;IF($J166="","link, ","")&amp;IF($G166="","alcance, ",""))=0,"OK","Falta "&amp;LEFT(IF($F166="","título, ","")&amp;IF($D166="","veículo, ","")&amp;IF($I166="","tom, ","")&amp;IF($J166="","link, ","")&amp;IF($G166="","alcance, ",""),LEN(IF($F166="","título, ","")&amp;IF($D166="","veículo, ","")&amp;IF($I166="","tom, ","")&amp;IF($J166="","link, ","")&amp;IF($G166="","alcance, ",""))-2)))</f>
        <v/>
      </c>
      <c r="M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8"/>
      <c r="G167" s="42"/>
      <c r="H167" s="42"/>
      <c r="I167" s="38"/>
      <c r="J167" s="38"/>
      <c r="K167" s="38"/>
      <c r="L167" s="40" t="str">
        <f aca="false">IF($A167="","",IF(LEN(IF($F167="","título, ","")&amp;IF($D167="","veículo, ","")&amp;IF($I167="","tom, ","")&amp;IF($J167="","link, ","")&amp;IF($G167="","alcance, ",""))=0,"OK","Falta "&amp;LEFT(IF($F167="","título, ","")&amp;IF($D167="","veículo, ","")&amp;IF($I167="","tom, ","")&amp;IF($J167="","link, ","")&amp;IF($G167="","alcance, ",""),LEN(IF($F167="","título, ","")&amp;IF($D167="","veículo, ","")&amp;IF($I167="","tom, ","")&amp;IF($J167="","link, ","")&amp;IF($G167="","alcance, ",""))-2)))</f>
        <v/>
      </c>
      <c r="M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8"/>
      <c r="G168" s="42"/>
      <c r="H168" s="42"/>
      <c r="I168" s="38"/>
      <c r="J168" s="38"/>
      <c r="K168" s="38"/>
      <c r="L168" s="40" t="str">
        <f aca="false">IF($A168="","",IF(LEN(IF($F168="","título, ","")&amp;IF($D168="","veículo, ","")&amp;IF($I168="","tom, ","")&amp;IF($J168="","link, ","")&amp;IF($G168="","alcance, ",""))=0,"OK","Falta "&amp;LEFT(IF($F168="","título, ","")&amp;IF($D168="","veículo, ","")&amp;IF($I168="","tom, ","")&amp;IF($J168="","link, ","")&amp;IF($G168="","alcance, ",""),LEN(IF($F168="","título, ","")&amp;IF($D168="","veículo, ","")&amp;IF($I168="","tom, ","")&amp;IF($J168="","link, ","")&amp;IF($G168="","alcance, ",""))-2)))</f>
        <v/>
      </c>
      <c r="M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8"/>
      <c r="G169" s="42"/>
      <c r="H169" s="42"/>
      <c r="I169" s="38"/>
      <c r="J169" s="38"/>
      <c r="K169" s="38"/>
      <c r="L169" s="40" t="str">
        <f aca="false">IF($A169="","",IF(LEN(IF($F169="","título, ","")&amp;IF($D169="","veículo, ","")&amp;IF($I169="","tom, ","")&amp;IF($J169="","link, ","")&amp;IF($G169="","alcance, ",""))=0,"OK","Falta "&amp;LEFT(IF($F169="","título, ","")&amp;IF($D169="","veículo, ","")&amp;IF($I169="","tom, ","")&amp;IF($J169="","link, ","")&amp;IF($G169="","alcance, ",""),LEN(IF($F169="","título, ","")&amp;IF($D169="","veículo, ","")&amp;IF($I169="","tom, ","")&amp;IF($J169="","link, ","")&amp;IF($G169="","alcance, ",""))-2)))</f>
        <v/>
      </c>
      <c r="M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8"/>
      <c r="G170" s="42"/>
      <c r="H170" s="42"/>
      <c r="I170" s="38"/>
      <c r="J170" s="38"/>
      <c r="K170" s="38"/>
      <c r="L170" s="40" t="str">
        <f aca="false">IF($A170="","",IF(LEN(IF($F170="","título, ","")&amp;IF($D170="","veículo, ","")&amp;IF($I170="","tom, ","")&amp;IF($J170="","link, ","")&amp;IF($G170="","alcance, ",""))=0,"OK","Falta "&amp;LEFT(IF($F170="","título, ","")&amp;IF($D170="","veículo, ","")&amp;IF($I170="","tom, ","")&amp;IF($J170="","link, ","")&amp;IF($G170="","alcance, ",""),LEN(IF($F170="","título, ","")&amp;IF($D170="","veículo, ","")&amp;IF($I170="","tom, ","")&amp;IF($J170="","link, ","")&amp;IF($G170="","alcance, ",""))-2)))</f>
        <v/>
      </c>
      <c r="M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8"/>
      <c r="G171" s="42"/>
      <c r="H171" s="42"/>
      <c r="I171" s="38"/>
      <c r="J171" s="38"/>
      <c r="K171" s="38"/>
      <c r="L171" s="40" t="str">
        <f aca="false">IF($A171="","",IF(LEN(IF($F171="","título, ","")&amp;IF($D171="","veículo, ","")&amp;IF($I171="","tom, ","")&amp;IF($J171="","link, ","")&amp;IF($G171="","alcance, ",""))=0,"OK","Falta "&amp;LEFT(IF($F171="","título, ","")&amp;IF($D171="","veículo, ","")&amp;IF($I171="","tom, ","")&amp;IF($J171="","link, ","")&amp;IF($G171="","alcance, ",""),LEN(IF($F171="","título, ","")&amp;IF($D171="","veículo, ","")&amp;IF($I171="","tom, ","")&amp;IF($J171="","link, ","")&amp;IF($G171="","alcance, ",""))-2)))</f>
        <v/>
      </c>
      <c r="M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8"/>
      <c r="G172" s="42"/>
      <c r="H172" s="42"/>
      <c r="I172" s="38"/>
      <c r="J172" s="38"/>
      <c r="K172" s="38"/>
      <c r="L172" s="40" t="str">
        <f aca="false">IF($A172="","",IF(LEN(IF($F172="","título, ","")&amp;IF($D172="","veículo, ","")&amp;IF($I172="","tom, ","")&amp;IF($J172="","link, ","")&amp;IF($G172="","alcance, ",""))=0,"OK","Falta "&amp;LEFT(IF($F172="","título, ","")&amp;IF($D172="","veículo, ","")&amp;IF($I172="","tom, ","")&amp;IF($J172="","link, ","")&amp;IF($G172="","alcance, ",""),LEN(IF($F172="","título, ","")&amp;IF($D172="","veículo, ","")&amp;IF($I172="","tom, ","")&amp;IF($J172="","link, ","")&amp;IF($G172="","alcance, ",""))-2)))</f>
        <v/>
      </c>
      <c r="M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8"/>
      <c r="G173" s="42"/>
      <c r="H173" s="42"/>
      <c r="I173" s="38"/>
      <c r="J173" s="38"/>
      <c r="K173" s="38"/>
      <c r="L173" s="40" t="str">
        <f aca="false">IF($A173="","",IF(LEN(IF($F173="","título, ","")&amp;IF($D173="","veículo, ","")&amp;IF($I173="","tom, ","")&amp;IF($J173="","link, ","")&amp;IF($G173="","alcance, ",""))=0,"OK","Falta "&amp;LEFT(IF($F173="","título, ","")&amp;IF($D173="","veículo, ","")&amp;IF($I173="","tom, ","")&amp;IF($J173="","link, ","")&amp;IF($G173="","alcance, ",""),LEN(IF($F173="","título, ","")&amp;IF($D173="","veículo, ","")&amp;IF($I173="","tom, ","")&amp;IF($J173="","link, ","")&amp;IF($G173="","alcance, ",""))-2)))</f>
        <v/>
      </c>
      <c r="M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8"/>
      <c r="G174" s="42"/>
      <c r="H174" s="42"/>
      <c r="I174" s="38"/>
      <c r="J174" s="38"/>
      <c r="K174" s="38"/>
      <c r="L174" s="40" t="str">
        <f aca="false">IF($A174="","",IF(LEN(IF($F174="","título, ","")&amp;IF($D174="","veículo, ","")&amp;IF($I174="","tom, ","")&amp;IF($J174="","link, ","")&amp;IF($G174="","alcance, ",""))=0,"OK","Falta "&amp;LEFT(IF($F174="","título, ","")&amp;IF($D174="","veículo, ","")&amp;IF($I174="","tom, ","")&amp;IF($J174="","link, ","")&amp;IF($G174="","alcance, ",""),LEN(IF($F174="","título, ","")&amp;IF($D174="","veículo, ","")&amp;IF($I174="","tom, ","")&amp;IF($J174="","link, ","")&amp;IF($G174="","alcance, ",""))-2)))</f>
        <v/>
      </c>
      <c r="M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8"/>
      <c r="G175" s="42"/>
      <c r="H175" s="42"/>
      <c r="I175" s="38"/>
      <c r="J175" s="38"/>
      <c r="K175" s="38"/>
      <c r="L175" s="40" t="str">
        <f aca="false">IF($A175="","",IF(LEN(IF($F175="","título, ","")&amp;IF($D175="","veículo, ","")&amp;IF($I175="","tom, ","")&amp;IF($J175="","link, ","")&amp;IF($G175="","alcance, ",""))=0,"OK","Falta "&amp;LEFT(IF($F175="","título, ","")&amp;IF($D175="","veículo, ","")&amp;IF($I175="","tom, ","")&amp;IF($J175="","link, ","")&amp;IF($G175="","alcance, ",""),LEN(IF($F175="","título, ","")&amp;IF($D175="","veículo, ","")&amp;IF($I175="","tom, ","")&amp;IF($J175="","link, ","")&amp;IF($G175="","alcance, ",""))-2)))</f>
        <v/>
      </c>
      <c r="M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8"/>
      <c r="G176" s="42"/>
      <c r="H176" s="42"/>
      <c r="I176" s="38"/>
      <c r="J176" s="38"/>
      <c r="K176" s="38"/>
      <c r="L176" s="40" t="str">
        <f aca="false">IF($A176="","",IF(LEN(IF($F176="","título, ","")&amp;IF($D176="","veículo, ","")&amp;IF($I176="","tom, ","")&amp;IF($J176="","link, ","")&amp;IF($G176="","alcance, ",""))=0,"OK","Falta "&amp;LEFT(IF($F176="","título, ","")&amp;IF($D176="","veículo, ","")&amp;IF($I176="","tom, ","")&amp;IF($J176="","link, ","")&amp;IF($G176="","alcance, ",""),LEN(IF($F176="","título, ","")&amp;IF($D176="","veículo, ","")&amp;IF($I176="","tom, ","")&amp;IF($J176="","link, ","")&amp;IF($G176="","alcance, ",""))-2)))</f>
        <v/>
      </c>
      <c r="M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8"/>
      <c r="G177" s="42"/>
      <c r="H177" s="42"/>
      <c r="I177" s="38"/>
      <c r="J177" s="38"/>
      <c r="K177" s="38"/>
      <c r="L177" s="40" t="str">
        <f aca="false">IF($A177="","",IF(LEN(IF($F177="","título, ","")&amp;IF($D177="","veículo, ","")&amp;IF($I177="","tom, ","")&amp;IF($J177="","link, ","")&amp;IF($G177="","alcance, ",""))=0,"OK","Falta "&amp;LEFT(IF($F177="","título, ","")&amp;IF($D177="","veículo, ","")&amp;IF($I177="","tom, ","")&amp;IF($J177="","link, ","")&amp;IF($G177="","alcance, ",""),LEN(IF($F177="","título, ","")&amp;IF($D177="","veículo, ","")&amp;IF($I177="","tom, ","")&amp;IF($J177="","link, ","")&amp;IF($G177="","alcance, ",""))-2)))</f>
        <v/>
      </c>
      <c r="M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8"/>
      <c r="G178" s="42"/>
      <c r="H178" s="42"/>
      <c r="I178" s="38"/>
      <c r="J178" s="38"/>
      <c r="K178" s="38"/>
      <c r="L178" s="40" t="str">
        <f aca="false">IF($A178="","",IF(LEN(IF($F178="","título, ","")&amp;IF($D178="","veículo, ","")&amp;IF($I178="","tom, ","")&amp;IF($J178="","link, ","")&amp;IF($G178="","alcance, ",""))=0,"OK","Falta "&amp;LEFT(IF($F178="","título, ","")&amp;IF($D178="","veículo, ","")&amp;IF($I178="","tom, ","")&amp;IF($J178="","link, ","")&amp;IF($G178="","alcance, ",""),LEN(IF($F178="","título, ","")&amp;IF($D178="","veículo, ","")&amp;IF($I178="","tom, ","")&amp;IF($J178="","link, ","")&amp;IF($G178="","alcance, ",""))-2)))</f>
        <v/>
      </c>
      <c r="M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8"/>
      <c r="G179" s="42"/>
      <c r="H179" s="42"/>
      <c r="I179" s="38"/>
      <c r="J179" s="38"/>
      <c r="K179" s="38"/>
      <c r="L179" s="40" t="str">
        <f aca="false">IF($A179="","",IF(LEN(IF($F179="","título, ","")&amp;IF($D179="","veículo, ","")&amp;IF($I179="","tom, ","")&amp;IF($J179="","link, ","")&amp;IF($G179="","alcance, ",""))=0,"OK","Falta "&amp;LEFT(IF($F179="","título, ","")&amp;IF($D179="","veículo, ","")&amp;IF($I179="","tom, ","")&amp;IF($J179="","link, ","")&amp;IF($G179="","alcance, ",""),LEN(IF($F179="","título, ","")&amp;IF($D179="","veículo, ","")&amp;IF($I179="","tom, ","")&amp;IF($J179="","link, ","")&amp;IF($G179="","alcance, ",""))-2)))</f>
        <v/>
      </c>
      <c r="M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8"/>
      <c r="G180" s="42"/>
      <c r="H180" s="42"/>
      <c r="I180" s="38"/>
      <c r="J180" s="38"/>
      <c r="K180" s="38"/>
      <c r="L180" s="40" t="str">
        <f aca="false">IF($A180="","",IF(LEN(IF($F180="","título, ","")&amp;IF($D180="","veículo, ","")&amp;IF($I180="","tom, ","")&amp;IF($J180="","link, ","")&amp;IF($G180="","alcance, ",""))=0,"OK","Falta "&amp;LEFT(IF($F180="","título, ","")&amp;IF($D180="","veículo, ","")&amp;IF($I180="","tom, ","")&amp;IF($J180="","link, ","")&amp;IF($G180="","alcance, ",""),LEN(IF($F180="","título, ","")&amp;IF($D180="","veículo, ","")&amp;IF($I180="","tom, ","")&amp;IF($J180="","link, ","")&amp;IF($G180="","alcance, ",""))-2)))</f>
        <v/>
      </c>
      <c r="M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8"/>
      <c r="G181" s="42"/>
      <c r="H181" s="42"/>
      <c r="I181" s="38"/>
      <c r="J181" s="38"/>
      <c r="K181" s="38"/>
      <c r="L181" s="40" t="str">
        <f aca="false">IF($A181="","",IF(LEN(IF($F181="","título, ","")&amp;IF($D181="","veículo, ","")&amp;IF($I181="","tom, ","")&amp;IF($J181="","link, ","")&amp;IF($G181="","alcance, ",""))=0,"OK","Falta "&amp;LEFT(IF($F181="","título, ","")&amp;IF($D181="","veículo, ","")&amp;IF($I181="","tom, ","")&amp;IF($J181="","link, ","")&amp;IF($G181="","alcance, ",""),LEN(IF($F181="","título, ","")&amp;IF($D181="","veículo, ","")&amp;IF($I181="","tom, ","")&amp;IF($J181="","link, ","")&amp;IF($G181="","alcance, ",""))-2)))</f>
        <v/>
      </c>
      <c r="M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8"/>
      <c r="G182" s="42"/>
      <c r="H182" s="42"/>
      <c r="I182" s="38"/>
      <c r="J182" s="38"/>
      <c r="K182" s="38"/>
      <c r="L182" s="40" t="str">
        <f aca="false">IF($A182="","",IF(LEN(IF($F182="","título, ","")&amp;IF($D182="","veículo, ","")&amp;IF($I182="","tom, ","")&amp;IF($J182="","link, ","")&amp;IF($G182="","alcance, ",""))=0,"OK","Falta "&amp;LEFT(IF($F182="","título, ","")&amp;IF($D182="","veículo, ","")&amp;IF($I182="","tom, ","")&amp;IF($J182="","link, ","")&amp;IF($G182="","alcance, ",""),LEN(IF($F182="","título, ","")&amp;IF($D182="","veículo, ","")&amp;IF($I182="","tom, ","")&amp;IF($J182="","link, ","")&amp;IF($G182="","alcance, ",""))-2)))</f>
        <v/>
      </c>
      <c r="M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8"/>
      <c r="G183" s="42"/>
      <c r="H183" s="42"/>
      <c r="I183" s="38"/>
      <c r="J183" s="38"/>
      <c r="K183" s="38"/>
      <c r="L183" s="40" t="str">
        <f aca="false">IF($A183="","",IF(LEN(IF($F183="","título, ","")&amp;IF($D183="","veículo, ","")&amp;IF($I183="","tom, ","")&amp;IF($J183="","link, ","")&amp;IF($G183="","alcance, ",""))=0,"OK","Falta "&amp;LEFT(IF($F183="","título, ","")&amp;IF($D183="","veículo, ","")&amp;IF($I183="","tom, ","")&amp;IF($J183="","link, ","")&amp;IF($G183="","alcance, ",""),LEN(IF($F183="","título, ","")&amp;IF($D183="","veículo, ","")&amp;IF($I183="","tom, ","")&amp;IF($J183="","link, ","")&amp;IF($G183="","alcance, ",""))-2)))</f>
        <v/>
      </c>
      <c r="M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8"/>
      <c r="G184" s="42"/>
      <c r="H184" s="42"/>
      <c r="I184" s="38"/>
      <c r="J184" s="38"/>
      <c r="K184" s="38"/>
      <c r="L184" s="40" t="str">
        <f aca="false">IF($A184="","",IF(LEN(IF($F184="","título, ","")&amp;IF($D184="","veículo, ","")&amp;IF($I184="","tom, ","")&amp;IF($J184="","link, ","")&amp;IF($G184="","alcance, ",""))=0,"OK","Falta "&amp;LEFT(IF($F184="","título, ","")&amp;IF($D184="","veículo, ","")&amp;IF($I184="","tom, ","")&amp;IF($J184="","link, ","")&amp;IF($G184="","alcance, ",""),LEN(IF($F184="","título, ","")&amp;IF($D184="","veículo, ","")&amp;IF($I184="","tom, ","")&amp;IF($J184="","link, ","")&amp;IF($G184="","alcance, ",""))-2)))</f>
        <v/>
      </c>
      <c r="M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8"/>
      <c r="G185" s="42"/>
      <c r="H185" s="42"/>
      <c r="I185" s="38"/>
      <c r="J185" s="38"/>
      <c r="K185" s="38"/>
      <c r="L185" s="40" t="str">
        <f aca="false">IF($A185="","",IF(LEN(IF($F185="","título, ","")&amp;IF($D185="","veículo, ","")&amp;IF($I185="","tom, ","")&amp;IF($J185="","link, ","")&amp;IF($G185="","alcance, ",""))=0,"OK","Falta "&amp;LEFT(IF($F185="","título, ","")&amp;IF($D185="","veículo, ","")&amp;IF($I185="","tom, ","")&amp;IF($J185="","link, ","")&amp;IF($G185="","alcance, ",""),LEN(IF($F185="","título, ","")&amp;IF($D185="","veículo, ","")&amp;IF($I185="","tom, ","")&amp;IF($J185="","link, ","")&amp;IF($G185="","alcance, ",""))-2)))</f>
        <v/>
      </c>
      <c r="M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8"/>
      <c r="G186" s="42"/>
      <c r="H186" s="42"/>
      <c r="I186" s="38"/>
      <c r="J186" s="38"/>
      <c r="K186" s="38"/>
      <c r="L186" s="40" t="str">
        <f aca="false">IF($A186="","",IF(LEN(IF($F186="","título, ","")&amp;IF($D186="","veículo, ","")&amp;IF($I186="","tom, ","")&amp;IF($J186="","link, ","")&amp;IF($G186="","alcance, ",""))=0,"OK","Falta "&amp;LEFT(IF($F186="","título, ","")&amp;IF($D186="","veículo, ","")&amp;IF($I186="","tom, ","")&amp;IF($J186="","link, ","")&amp;IF($G186="","alcance, ",""),LEN(IF($F186="","título, ","")&amp;IF($D186="","veículo, ","")&amp;IF($I186="","tom, ","")&amp;IF($J186="","link, ","")&amp;IF($G186="","alcance, ",""))-2)))</f>
        <v/>
      </c>
      <c r="M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8"/>
      <c r="G187" s="42"/>
      <c r="H187" s="42"/>
      <c r="I187" s="38"/>
      <c r="J187" s="38"/>
      <c r="K187" s="38"/>
      <c r="L187" s="40" t="str">
        <f aca="false">IF($A187="","",IF(LEN(IF($F187="","título, ","")&amp;IF($D187="","veículo, ","")&amp;IF($I187="","tom, ","")&amp;IF($J187="","link, ","")&amp;IF($G187="","alcance, ",""))=0,"OK","Falta "&amp;LEFT(IF($F187="","título, ","")&amp;IF($D187="","veículo, ","")&amp;IF($I187="","tom, ","")&amp;IF($J187="","link, ","")&amp;IF($G187="","alcance, ",""),LEN(IF($F187="","título, ","")&amp;IF($D187="","veículo, ","")&amp;IF($I187="","tom, ","")&amp;IF($J187="","link, ","")&amp;IF($G187="","alcance, ",""))-2)))</f>
        <v/>
      </c>
      <c r="M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8"/>
      <c r="G188" s="42"/>
      <c r="H188" s="42"/>
      <c r="I188" s="38"/>
      <c r="J188" s="38"/>
      <c r="K188" s="38"/>
      <c r="L188" s="40" t="str">
        <f aca="false">IF($A188="","",IF(LEN(IF($F188="","título, ","")&amp;IF($D188="","veículo, ","")&amp;IF($I188="","tom, ","")&amp;IF($J188="","link, ","")&amp;IF($G188="","alcance, ",""))=0,"OK","Falta "&amp;LEFT(IF($F188="","título, ","")&amp;IF($D188="","veículo, ","")&amp;IF($I188="","tom, ","")&amp;IF($J188="","link, ","")&amp;IF($G188="","alcance, ",""),LEN(IF($F188="","título, ","")&amp;IF($D188="","veículo, ","")&amp;IF($I188="","tom, ","")&amp;IF($J188="","link, ","")&amp;IF($G188="","alcance, ",""))-2)))</f>
        <v/>
      </c>
      <c r="M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8"/>
      <c r="G189" s="42"/>
      <c r="H189" s="42"/>
      <c r="I189" s="38"/>
      <c r="J189" s="38"/>
      <c r="K189" s="38"/>
      <c r="L189" s="40" t="str">
        <f aca="false">IF($A189="","",IF(LEN(IF($F189="","título, ","")&amp;IF($D189="","veículo, ","")&amp;IF($I189="","tom, ","")&amp;IF($J189="","link, ","")&amp;IF($G189="","alcance, ",""))=0,"OK","Falta "&amp;LEFT(IF($F189="","título, ","")&amp;IF($D189="","veículo, ","")&amp;IF($I189="","tom, ","")&amp;IF($J189="","link, ","")&amp;IF($G189="","alcance, ",""),LEN(IF($F189="","título, ","")&amp;IF($D189="","veículo, ","")&amp;IF($I189="","tom, ","")&amp;IF($J189="","link, ","")&amp;IF($G189="","alcance, ",""))-2)))</f>
        <v/>
      </c>
      <c r="M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8"/>
      <c r="G190" s="42"/>
      <c r="H190" s="42"/>
      <c r="I190" s="38"/>
      <c r="J190" s="38"/>
      <c r="K190" s="38"/>
      <c r="L190" s="40" t="str">
        <f aca="false">IF($A190="","",IF(LEN(IF($F190="","título, ","")&amp;IF($D190="","veículo, ","")&amp;IF($I190="","tom, ","")&amp;IF($J190="","link, ","")&amp;IF($G190="","alcance, ",""))=0,"OK","Falta "&amp;LEFT(IF($F190="","título, ","")&amp;IF($D190="","veículo, ","")&amp;IF($I190="","tom, ","")&amp;IF($J190="","link, ","")&amp;IF($G190="","alcance, ",""),LEN(IF($F190="","título, ","")&amp;IF($D190="","veículo, ","")&amp;IF($I190="","tom, ","")&amp;IF($J190="","link, ","")&amp;IF($G190="","alcance, ",""))-2)))</f>
        <v/>
      </c>
      <c r="M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8"/>
      <c r="G191" s="42"/>
      <c r="H191" s="42"/>
      <c r="I191" s="38"/>
      <c r="J191" s="38"/>
      <c r="K191" s="38"/>
      <c r="L191" s="40" t="str">
        <f aca="false">IF($A191="","",IF(LEN(IF($F191="","título, ","")&amp;IF($D191="","veículo, ","")&amp;IF($I191="","tom, ","")&amp;IF($J191="","link, ","")&amp;IF($G191="","alcance, ",""))=0,"OK","Falta "&amp;LEFT(IF($F191="","título, ","")&amp;IF($D191="","veículo, ","")&amp;IF($I191="","tom, ","")&amp;IF($J191="","link, ","")&amp;IF($G191="","alcance, ",""),LEN(IF($F191="","título, ","")&amp;IF($D191="","veículo, ","")&amp;IF($I191="","tom, ","")&amp;IF($J191="","link, ","")&amp;IF($G191="","alcance, ",""))-2)))</f>
        <v/>
      </c>
      <c r="M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8"/>
      <c r="G192" s="42"/>
      <c r="H192" s="42"/>
      <c r="I192" s="38"/>
      <c r="J192" s="38"/>
      <c r="K192" s="38"/>
      <c r="L192" s="40" t="str">
        <f aca="false">IF($A192="","",IF(LEN(IF($F192="","título, ","")&amp;IF($D192="","veículo, ","")&amp;IF($I192="","tom, ","")&amp;IF($J192="","link, ","")&amp;IF($G192="","alcance, ",""))=0,"OK","Falta "&amp;LEFT(IF($F192="","título, ","")&amp;IF($D192="","veículo, ","")&amp;IF($I192="","tom, ","")&amp;IF($J192="","link, ","")&amp;IF($G192="","alcance, ",""),LEN(IF($F192="","título, ","")&amp;IF($D192="","veículo, ","")&amp;IF($I192="","tom, ","")&amp;IF($J192="","link, ","")&amp;IF($G192="","alcance, ",""))-2)))</f>
        <v/>
      </c>
      <c r="M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8"/>
      <c r="G193" s="42"/>
      <c r="H193" s="42"/>
      <c r="I193" s="38"/>
      <c r="J193" s="38"/>
      <c r="K193" s="38"/>
      <c r="L193" s="40" t="str">
        <f aca="false">IF($A193="","",IF(LEN(IF($F193="","título, ","")&amp;IF($D193="","veículo, ","")&amp;IF($I193="","tom, ","")&amp;IF($J193="","link, ","")&amp;IF($G193="","alcance, ",""))=0,"OK","Falta "&amp;LEFT(IF($F193="","título, ","")&amp;IF($D193="","veículo, ","")&amp;IF($I193="","tom, ","")&amp;IF($J193="","link, ","")&amp;IF($G193="","alcance, ",""),LEN(IF($F193="","título, ","")&amp;IF($D193="","veículo, ","")&amp;IF($I193="","tom, ","")&amp;IF($J193="","link, ","")&amp;IF($G193="","alcance, ",""))-2)))</f>
        <v/>
      </c>
      <c r="M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8"/>
      <c r="G194" s="42"/>
      <c r="H194" s="42"/>
      <c r="I194" s="38"/>
      <c r="J194" s="38"/>
      <c r="K194" s="38"/>
      <c r="L194" s="40" t="str">
        <f aca="false">IF($A194="","",IF(LEN(IF($F194="","título, ","")&amp;IF($D194="","veículo, ","")&amp;IF($I194="","tom, ","")&amp;IF($J194="","link, ","")&amp;IF($G194="","alcance, ",""))=0,"OK","Falta "&amp;LEFT(IF($F194="","título, ","")&amp;IF($D194="","veículo, ","")&amp;IF($I194="","tom, ","")&amp;IF($J194="","link, ","")&amp;IF($G194="","alcance, ",""),LEN(IF($F194="","título, ","")&amp;IF($D194="","veículo, ","")&amp;IF($I194="","tom, ","")&amp;IF($J194="","link, ","")&amp;IF($G194="","alcance, ",""))-2)))</f>
        <v/>
      </c>
      <c r="M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8"/>
      <c r="G195" s="42"/>
      <c r="H195" s="42"/>
      <c r="I195" s="38"/>
      <c r="J195" s="38"/>
      <c r="K195" s="38"/>
      <c r="L195" s="40" t="str">
        <f aca="false">IF($A195="","",IF(LEN(IF($F195="","título, ","")&amp;IF($D195="","veículo, ","")&amp;IF($I195="","tom, ","")&amp;IF($J195="","link, ","")&amp;IF($G195="","alcance, ",""))=0,"OK","Falta "&amp;LEFT(IF($F195="","título, ","")&amp;IF($D195="","veículo, ","")&amp;IF($I195="","tom, ","")&amp;IF($J195="","link, ","")&amp;IF($G195="","alcance, ",""),LEN(IF($F195="","título, ","")&amp;IF($D195="","veículo, ","")&amp;IF($I195="","tom, ","")&amp;IF($J195="","link, ","")&amp;IF($G195="","alcance, ",""))-2)))</f>
        <v/>
      </c>
      <c r="M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8"/>
      <c r="G196" s="42"/>
      <c r="H196" s="42"/>
      <c r="I196" s="38"/>
      <c r="J196" s="38"/>
      <c r="K196" s="38"/>
      <c r="L196" s="40" t="str">
        <f aca="false">IF($A196="","",IF(LEN(IF($F196="","título, ","")&amp;IF($D196="","veículo, ","")&amp;IF($I196="","tom, ","")&amp;IF($J196="","link, ","")&amp;IF($G196="","alcance, ",""))=0,"OK","Falta "&amp;LEFT(IF($F196="","título, ","")&amp;IF($D196="","veículo, ","")&amp;IF($I196="","tom, ","")&amp;IF($J196="","link, ","")&amp;IF($G196="","alcance, ",""),LEN(IF($F196="","título, ","")&amp;IF($D196="","veículo, ","")&amp;IF($I196="","tom, ","")&amp;IF($J196="","link, ","")&amp;IF($G196="","alcance, ",""))-2)))</f>
        <v/>
      </c>
      <c r="M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8"/>
      <c r="G197" s="42"/>
      <c r="H197" s="42"/>
      <c r="I197" s="38"/>
      <c r="J197" s="38"/>
      <c r="K197" s="38"/>
      <c r="L197" s="40" t="str">
        <f aca="false">IF($A197="","",IF(LEN(IF($F197="","título, ","")&amp;IF($D197="","veículo, ","")&amp;IF($I197="","tom, ","")&amp;IF($J197="","link, ","")&amp;IF($G197="","alcance, ",""))=0,"OK","Falta "&amp;LEFT(IF($F197="","título, ","")&amp;IF($D197="","veículo, ","")&amp;IF($I197="","tom, ","")&amp;IF($J197="","link, ","")&amp;IF($G197="","alcance, ",""),LEN(IF($F197="","título, ","")&amp;IF($D197="","veículo, ","")&amp;IF($I197="","tom, ","")&amp;IF($J197="","link, ","")&amp;IF($G197="","alcance, ",""))-2)))</f>
        <v/>
      </c>
      <c r="M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8"/>
      <c r="G198" s="42"/>
      <c r="H198" s="42"/>
      <c r="I198" s="38"/>
      <c r="J198" s="38"/>
      <c r="K198" s="38"/>
      <c r="L198" s="40" t="str">
        <f aca="false">IF($A198="","",IF(LEN(IF($F198="","título, ","")&amp;IF($D198="","veículo, ","")&amp;IF($I198="","tom, ","")&amp;IF($J198="","link, ","")&amp;IF($G198="","alcance, ",""))=0,"OK","Falta "&amp;LEFT(IF($F198="","título, ","")&amp;IF($D198="","veículo, ","")&amp;IF($I198="","tom, ","")&amp;IF($J198="","link, ","")&amp;IF($G198="","alcance, ",""),LEN(IF($F198="","título, ","")&amp;IF($D198="","veículo, ","")&amp;IF($I198="","tom, ","")&amp;IF($J198="","link, ","")&amp;IF($G198="","alcance, ",""))-2)))</f>
        <v/>
      </c>
      <c r="M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8"/>
      <c r="G199" s="42"/>
      <c r="H199" s="42"/>
      <c r="I199" s="38"/>
      <c r="J199" s="38"/>
      <c r="K199" s="38"/>
      <c r="L199" s="40" t="str">
        <f aca="false">IF($A199="","",IF(LEN(IF($F199="","título, ","")&amp;IF($D199="","veículo, ","")&amp;IF($I199="","tom, ","")&amp;IF($J199="","link, ","")&amp;IF($G199="","alcance, ",""))=0,"OK","Falta "&amp;LEFT(IF($F199="","título, ","")&amp;IF($D199="","veículo, ","")&amp;IF($I199="","tom, ","")&amp;IF($J199="","link, ","")&amp;IF($G199="","alcance, ",""),LEN(IF($F199="","título, ","")&amp;IF($D199="","veículo, ","")&amp;IF($I199="","tom, ","")&amp;IF($J199="","link, ","")&amp;IF($G199="","alcance, ",""))-2)))</f>
        <v/>
      </c>
      <c r="M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8"/>
      <c r="G200" s="42"/>
      <c r="H200" s="42"/>
      <c r="I200" s="38"/>
      <c r="J200" s="38"/>
      <c r="K200" s="38"/>
      <c r="L200" s="40" t="str">
        <f aca="false">IF($A200="","",IF(LEN(IF($F200="","título, ","")&amp;IF($D200="","veículo, ","")&amp;IF($I200="","tom, ","")&amp;IF($J200="","link, ","")&amp;IF($G200="","alcance, ",""))=0,"OK","Falta "&amp;LEFT(IF($F200="","título, ","")&amp;IF($D200="","veículo, ","")&amp;IF($I200="","tom, ","")&amp;IF($J200="","link, ","")&amp;IF($G200="","alcance, ",""),LEN(IF($F200="","título, ","")&amp;IF($D200="","veículo, ","")&amp;IF($I200="","tom, ","")&amp;IF($J200="","link, ","")&amp;IF($G200="","alcance, ",""))-2)))</f>
        <v/>
      </c>
      <c r="M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8"/>
      <c r="G201" s="42"/>
      <c r="H201" s="42"/>
      <c r="I201" s="38"/>
      <c r="J201" s="38"/>
      <c r="K201" s="38"/>
      <c r="L201" s="40" t="str">
        <f aca="false">IF($A201="","",IF(LEN(IF($F201="","título, ","")&amp;IF($D201="","veículo, ","")&amp;IF($I201="","tom, ","")&amp;IF($J201="","link, ","")&amp;IF($G201="","alcance, ",""))=0,"OK","Falta "&amp;LEFT(IF($F201="","título, ","")&amp;IF($D201="","veículo, ","")&amp;IF($I201="","tom, ","")&amp;IF($J201="","link, ","")&amp;IF($G201="","alcance, ",""),LEN(IF($F201="","título, ","")&amp;IF($D201="","veículo, ","")&amp;IF($I201="","tom, ","")&amp;IF($J201="","link, ","")&amp;IF($G201="","alcance, ",""))-2)))</f>
        <v/>
      </c>
      <c r="M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8"/>
      <c r="G202" s="42"/>
      <c r="H202" s="42"/>
      <c r="I202" s="38"/>
      <c r="J202" s="38"/>
      <c r="K202" s="38"/>
      <c r="L202" s="40" t="str">
        <f aca="false">IF($A202="","",IF(LEN(IF($F202="","título, ","")&amp;IF($D202="","veículo, ","")&amp;IF($I202="","tom, ","")&amp;IF($J202="","link, ","")&amp;IF($G202="","alcance, ",""))=0,"OK","Falta "&amp;LEFT(IF($F202="","título, ","")&amp;IF($D202="","veículo, ","")&amp;IF($I202="","tom, ","")&amp;IF($J202="","link, ","")&amp;IF($G202="","alcance, ",""),LEN(IF($F202="","título, ","")&amp;IF($D202="","veículo, ","")&amp;IF($I202="","tom, ","")&amp;IF($J202="","link, ","")&amp;IF($G202="","alcance, ",""))-2)))</f>
        <v/>
      </c>
      <c r="M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8"/>
      <c r="G203" s="42"/>
      <c r="H203" s="42"/>
      <c r="I203" s="38"/>
      <c r="J203" s="38"/>
      <c r="K203" s="38"/>
      <c r="L203" s="40" t="str">
        <f aca="false">IF($A203="","",IF(LEN(IF($F203="","título, ","")&amp;IF($D203="","veículo, ","")&amp;IF($I203="","tom, ","")&amp;IF($J203="","link, ","")&amp;IF($G203="","alcance, ",""))=0,"OK","Falta "&amp;LEFT(IF($F203="","título, ","")&amp;IF($D203="","veículo, ","")&amp;IF($I203="","tom, ","")&amp;IF($J203="","link, ","")&amp;IF($G203="","alcance, ",""),LEN(IF($F203="","título, ","")&amp;IF($D203="","veículo, ","")&amp;IF($I203="","tom, ","")&amp;IF($J203="","link, ","")&amp;IF($G203="","alcance, ",""))-2)))</f>
        <v/>
      </c>
      <c r="M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8"/>
      <c r="G204" s="42"/>
      <c r="H204" s="42"/>
      <c r="I204" s="38"/>
      <c r="J204" s="38"/>
      <c r="K204" s="38"/>
      <c r="L204" s="40" t="str">
        <f aca="false">IF($A204="","",IF(LEN(IF($F204="","título, ","")&amp;IF($D204="","veículo, ","")&amp;IF($I204="","tom, ","")&amp;IF($J204="","link, ","")&amp;IF($G204="","alcance, ",""))=0,"OK","Falta "&amp;LEFT(IF($F204="","título, ","")&amp;IF($D204="","veículo, ","")&amp;IF($I204="","tom, ","")&amp;IF($J204="","link, ","")&amp;IF($G204="","alcance, ",""),LEN(IF($F204="","título, ","")&amp;IF($D204="","veículo, ","")&amp;IF($I204="","tom, ","")&amp;IF($J204="","link, ","")&amp;IF($G204="","alcance, ",""))-2)))</f>
        <v/>
      </c>
      <c r="M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8"/>
      <c r="G205" s="42"/>
      <c r="H205" s="42"/>
      <c r="I205" s="38"/>
      <c r="J205" s="38"/>
      <c r="K205" s="38"/>
      <c r="L205" s="40" t="str">
        <f aca="false">IF($A205="","",IF(LEN(IF($F205="","título, ","")&amp;IF($D205="","veículo, ","")&amp;IF($I205="","tom, ","")&amp;IF($J205="","link, ","")&amp;IF($G205="","alcance, ",""))=0,"OK","Falta "&amp;LEFT(IF($F205="","título, ","")&amp;IF($D205="","veículo, ","")&amp;IF($I205="","tom, ","")&amp;IF($J205="","link, ","")&amp;IF($G205="","alcance, ",""),LEN(IF($F205="","título, ","")&amp;IF($D205="","veículo, ","")&amp;IF($I205="","tom, ","")&amp;IF($J205="","link, ","")&amp;IF($G205="","alcance, ",""))-2)))</f>
        <v/>
      </c>
      <c r="M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8"/>
      <c r="G206" s="42"/>
      <c r="H206" s="42"/>
      <c r="I206" s="38"/>
      <c r="J206" s="38"/>
      <c r="K206" s="38"/>
      <c r="L206" s="40" t="str">
        <f aca="false">IF($A206="","",IF(LEN(IF($F206="","título, ","")&amp;IF($D206="","veículo, ","")&amp;IF($I206="","tom, ","")&amp;IF($J206="","link, ","")&amp;IF($G206="","alcance, ",""))=0,"OK","Falta "&amp;LEFT(IF($F206="","título, ","")&amp;IF($D206="","veículo, ","")&amp;IF($I206="","tom, ","")&amp;IF($J206="","link, ","")&amp;IF($G206="","alcance, ",""),LEN(IF($F206="","título, ","")&amp;IF($D206="","veículo, ","")&amp;IF($I206="","tom, ","")&amp;IF($J206="","link, ","")&amp;IF($G206="","alcance, ",""))-2)))</f>
        <v/>
      </c>
      <c r="M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8"/>
      <c r="G207" s="42"/>
      <c r="H207" s="42"/>
      <c r="I207" s="38"/>
      <c r="J207" s="38"/>
      <c r="K207" s="38"/>
      <c r="L207" s="40" t="str">
        <f aca="false">IF($A207="","",IF(LEN(IF($F207="","título, ","")&amp;IF($D207="","veículo, ","")&amp;IF($I207="","tom, ","")&amp;IF($J207="","link, ","")&amp;IF($G207="","alcance, ",""))=0,"OK","Falta "&amp;LEFT(IF($F207="","título, ","")&amp;IF($D207="","veículo, ","")&amp;IF($I207="","tom, ","")&amp;IF($J207="","link, ","")&amp;IF($G207="","alcance, ",""),LEN(IF($F207="","título, ","")&amp;IF($D207="","veículo, ","")&amp;IF($I207="","tom, ","")&amp;IF($J207="","link, ","")&amp;IF($G207="","alcance, ",""))-2)))</f>
        <v/>
      </c>
      <c r="M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8"/>
      <c r="G208" s="42"/>
      <c r="H208" s="42"/>
      <c r="I208" s="38"/>
      <c r="J208" s="38"/>
      <c r="K208" s="38"/>
      <c r="L208" s="40" t="str">
        <f aca="false">IF($A208="","",IF(LEN(IF($F208="","título, ","")&amp;IF($D208="","veículo, ","")&amp;IF($I208="","tom, ","")&amp;IF($J208="","link, ","")&amp;IF($G208="","alcance, ",""))=0,"OK","Falta "&amp;LEFT(IF($F208="","título, ","")&amp;IF($D208="","veículo, ","")&amp;IF($I208="","tom, ","")&amp;IF($J208="","link, ","")&amp;IF($G208="","alcance, ",""),LEN(IF($F208="","título, ","")&amp;IF($D208="","veículo, ","")&amp;IF($I208="","tom, ","")&amp;IF($J208="","link, ","")&amp;IF($G208="","alcance, ",""))-2)))</f>
        <v/>
      </c>
      <c r="M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8"/>
      <c r="G209" s="42"/>
      <c r="H209" s="42"/>
      <c r="I209" s="38"/>
      <c r="J209" s="38"/>
      <c r="K209" s="38"/>
      <c r="L209" s="40" t="str">
        <f aca="false">IF($A209="","",IF(LEN(IF($F209="","título, ","")&amp;IF($D209="","veículo, ","")&amp;IF($I209="","tom, ","")&amp;IF($J209="","link, ","")&amp;IF($G209="","alcance, ",""))=0,"OK","Falta "&amp;LEFT(IF($F209="","título, ","")&amp;IF($D209="","veículo, ","")&amp;IF($I209="","tom, ","")&amp;IF($J209="","link, ","")&amp;IF($G209="","alcance, ",""),LEN(IF($F209="","título, ","")&amp;IF($D209="","veículo, ","")&amp;IF($I209="","tom, ","")&amp;IF($J209="","link, ","")&amp;IF($G209="","alcance, ",""))-2)))</f>
        <v/>
      </c>
      <c r="M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8"/>
      <c r="G210" s="42"/>
      <c r="H210" s="42"/>
      <c r="I210" s="38"/>
      <c r="J210" s="38"/>
      <c r="K210" s="38"/>
      <c r="L210" s="40" t="str">
        <f aca="false">IF($A210="","",IF(LEN(IF($F210="","título, ","")&amp;IF($D210="","veículo, ","")&amp;IF($I210="","tom, ","")&amp;IF($J210="","link, ","")&amp;IF($G210="","alcance, ",""))=0,"OK","Falta "&amp;LEFT(IF($F210="","título, ","")&amp;IF($D210="","veículo, ","")&amp;IF($I210="","tom, ","")&amp;IF($J210="","link, ","")&amp;IF($G210="","alcance, ",""),LEN(IF($F210="","título, ","")&amp;IF($D210="","veículo, ","")&amp;IF($I210="","tom, ","")&amp;IF($J210="","link, ","")&amp;IF($G210="","alcance, ",""))-2)))</f>
        <v/>
      </c>
      <c r="M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8"/>
      <c r="G211" s="42"/>
      <c r="H211" s="42"/>
      <c r="I211" s="38"/>
      <c r="J211" s="38"/>
      <c r="K211" s="38"/>
      <c r="L211" s="40" t="str">
        <f aca="false">IF($A211="","",IF(LEN(IF($F211="","título, ","")&amp;IF($D211="","veículo, ","")&amp;IF($I211="","tom, ","")&amp;IF($J211="","link, ","")&amp;IF($G211="","alcance, ",""))=0,"OK","Falta "&amp;LEFT(IF($F211="","título, ","")&amp;IF($D211="","veículo, ","")&amp;IF($I211="","tom, ","")&amp;IF($J211="","link, ","")&amp;IF($G211="","alcance, ",""),LEN(IF($F211="","título, ","")&amp;IF($D211="","veículo, ","")&amp;IF($I211="","tom, ","")&amp;IF($J211="","link, ","")&amp;IF($G211="","alcance, ",""))-2)))</f>
        <v/>
      </c>
      <c r="M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8"/>
      <c r="G212" s="42"/>
      <c r="H212" s="42"/>
      <c r="I212" s="38"/>
      <c r="J212" s="38"/>
      <c r="K212" s="38"/>
      <c r="L212" s="40" t="str">
        <f aca="false">IF($A212="","",IF(LEN(IF($F212="","título, ","")&amp;IF($D212="","veículo, ","")&amp;IF($I212="","tom, ","")&amp;IF($J212="","link, ","")&amp;IF($G212="","alcance, ",""))=0,"OK","Falta "&amp;LEFT(IF($F212="","título, ","")&amp;IF($D212="","veículo, ","")&amp;IF($I212="","tom, ","")&amp;IF($J212="","link, ","")&amp;IF($G212="","alcance, ",""),LEN(IF($F212="","título, ","")&amp;IF($D212="","veículo, ","")&amp;IF($I212="","tom, ","")&amp;IF($J212="","link, ","")&amp;IF($G212="","alcance, ",""))-2)))</f>
        <v/>
      </c>
      <c r="M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8"/>
      <c r="G213" s="42"/>
      <c r="H213" s="42"/>
      <c r="I213" s="38"/>
      <c r="J213" s="38"/>
      <c r="K213" s="38"/>
      <c r="L213" s="40" t="str">
        <f aca="false">IF($A213="","",IF(LEN(IF($F213="","título, ","")&amp;IF($D213="","veículo, ","")&amp;IF($I213="","tom, ","")&amp;IF($J213="","link, ","")&amp;IF($G213="","alcance, ",""))=0,"OK","Falta "&amp;LEFT(IF($F213="","título, ","")&amp;IF($D213="","veículo, ","")&amp;IF($I213="","tom, ","")&amp;IF($J213="","link, ","")&amp;IF($G213="","alcance, ",""),LEN(IF($F213="","título, ","")&amp;IF($D213="","veículo, ","")&amp;IF($I213="","tom, ","")&amp;IF($J213="","link, ","")&amp;IF($G213="","alcance, ",""))-2)))</f>
        <v/>
      </c>
      <c r="M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8"/>
      <c r="G214" s="42"/>
      <c r="H214" s="42"/>
      <c r="I214" s="38"/>
      <c r="J214" s="38"/>
      <c r="K214" s="38"/>
      <c r="L214" s="40" t="str">
        <f aca="false">IF($A214="","",IF(LEN(IF($F214="","título, ","")&amp;IF($D214="","veículo, ","")&amp;IF($I214="","tom, ","")&amp;IF($J214="","link, ","")&amp;IF($G214="","alcance, ",""))=0,"OK","Falta "&amp;LEFT(IF($F214="","título, ","")&amp;IF($D214="","veículo, ","")&amp;IF($I214="","tom, ","")&amp;IF($J214="","link, ","")&amp;IF($G214="","alcance, ",""),LEN(IF($F214="","título, ","")&amp;IF($D214="","veículo, ","")&amp;IF($I214="","tom, ","")&amp;IF($J214="","link, ","")&amp;IF($G214="","alcance, ",""))-2)))</f>
        <v/>
      </c>
      <c r="M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8"/>
      <c r="G215" s="42"/>
      <c r="H215" s="42"/>
      <c r="I215" s="38"/>
      <c r="J215" s="38"/>
      <c r="K215" s="38"/>
      <c r="L215" s="40" t="str">
        <f aca="false">IF($A215="","",IF(LEN(IF($F215="","título, ","")&amp;IF($D215="","veículo, ","")&amp;IF($I215="","tom, ","")&amp;IF($J215="","link, ","")&amp;IF($G215="","alcance, ",""))=0,"OK","Falta "&amp;LEFT(IF($F215="","título, ","")&amp;IF($D215="","veículo, ","")&amp;IF($I215="","tom, ","")&amp;IF($J215="","link, ","")&amp;IF($G215="","alcance, ",""),LEN(IF($F215="","título, ","")&amp;IF($D215="","veículo, ","")&amp;IF($I215="","tom, ","")&amp;IF($J215="","link, ","")&amp;IF($G215="","alcance, ",""))-2)))</f>
        <v/>
      </c>
      <c r="M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8"/>
      <c r="G216" s="42"/>
      <c r="H216" s="42"/>
      <c r="I216" s="38"/>
      <c r="J216" s="38"/>
      <c r="K216" s="38"/>
      <c r="L216" s="40" t="str">
        <f aca="false">IF($A216="","",IF(LEN(IF($F216="","título, ","")&amp;IF($D216="","veículo, ","")&amp;IF($I216="","tom, ","")&amp;IF($J216="","link, ","")&amp;IF($G216="","alcance, ",""))=0,"OK","Falta "&amp;LEFT(IF($F216="","título, ","")&amp;IF($D216="","veículo, ","")&amp;IF($I216="","tom, ","")&amp;IF($J216="","link, ","")&amp;IF($G216="","alcance, ",""),LEN(IF($F216="","título, ","")&amp;IF($D216="","veículo, ","")&amp;IF($I216="","tom, ","")&amp;IF($J216="","link, ","")&amp;IF($G216="","alcance, ",""))-2)))</f>
        <v/>
      </c>
      <c r="M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8"/>
      <c r="G217" s="42"/>
      <c r="H217" s="42"/>
      <c r="I217" s="38"/>
      <c r="J217" s="38"/>
      <c r="K217" s="38"/>
      <c r="L217" s="40" t="str">
        <f aca="false">IF($A217="","",IF(LEN(IF($F217="","título, ","")&amp;IF($D217="","veículo, ","")&amp;IF($I217="","tom, ","")&amp;IF($J217="","link, ","")&amp;IF($G217="","alcance, ",""))=0,"OK","Falta "&amp;LEFT(IF($F217="","título, ","")&amp;IF($D217="","veículo, ","")&amp;IF($I217="","tom, ","")&amp;IF($J217="","link, ","")&amp;IF($G217="","alcance, ",""),LEN(IF($F217="","título, ","")&amp;IF($D217="","veículo, ","")&amp;IF($I217="","tom, ","")&amp;IF($J217="","link, ","")&amp;IF($G217="","alcance, ",""))-2)))</f>
        <v/>
      </c>
      <c r="M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8"/>
      <c r="G218" s="42"/>
      <c r="H218" s="42"/>
      <c r="I218" s="38"/>
      <c r="J218" s="38"/>
      <c r="K218" s="38"/>
      <c r="L218" s="40" t="str">
        <f aca="false">IF($A218="","",IF(LEN(IF($F218="","título, ","")&amp;IF($D218="","veículo, ","")&amp;IF($I218="","tom, ","")&amp;IF($J218="","link, ","")&amp;IF($G218="","alcance, ",""))=0,"OK","Falta "&amp;LEFT(IF($F218="","título, ","")&amp;IF($D218="","veículo, ","")&amp;IF($I218="","tom, ","")&amp;IF($J218="","link, ","")&amp;IF($G218="","alcance, ",""),LEN(IF($F218="","título, ","")&amp;IF($D218="","veículo, ","")&amp;IF($I218="","tom, ","")&amp;IF($J218="","link, ","")&amp;IF($G218="","alcance, ",""))-2)))</f>
        <v/>
      </c>
      <c r="M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8"/>
      <c r="G219" s="42"/>
      <c r="H219" s="42"/>
      <c r="I219" s="38"/>
      <c r="J219" s="38"/>
      <c r="K219" s="38"/>
      <c r="L219" s="40" t="str">
        <f aca="false">IF($A219="","",IF(LEN(IF($F219="","título, ","")&amp;IF($D219="","veículo, ","")&amp;IF($I219="","tom, ","")&amp;IF($J219="","link, ","")&amp;IF($G219="","alcance, ",""))=0,"OK","Falta "&amp;LEFT(IF($F219="","título, ","")&amp;IF($D219="","veículo, ","")&amp;IF($I219="","tom, ","")&amp;IF($J219="","link, ","")&amp;IF($G219="","alcance, ",""),LEN(IF($F219="","título, ","")&amp;IF($D219="","veículo, ","")&amp;IF($I219="","tom, ","")&amp;IF($J219="","link, ","")&amp;IF($G219="","alcance, ",""))-2)))</f>
        <v/>
      </c>
      <c r="M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8"/>
      <c r="G220" s="42"/>
      <c r="H220" s="42"/>
      <c r="I220" s="38"/>
      <c r="J220" s="38"/>
      <c r="K220" s="38"/>
      <c r="L220" s="40" t="str">
        <f aca="false">IF($A220="","",IF(LEN(IF($F220="","título, ","")&amp;IF($D220="","veículo, ","")&amp;IF($I220="","tom, ","")&amp;IF($J220="","link, ","")&amp;IF($G220="","alcance, ",""))=0,"OK","Falta "&amp;LEFT(IF($F220="","título, ","")&amp;IF($D220="","veículo, ","")&amp;IF($I220="","tom, ","")&amp;IF($J220="","link, ","")&amp;IF($G220="","alcance, ",""),LEN(IF($F220="","título, ","")&amp;IF($D220="","veículo, ","")&amp;IF($I220="","tom, ","")&amp;IF($J220="","link, ","")&amp;IF($G220="","alcance, ",""))-2)))</f>
        <v/>
      </c>
      <c r="M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8"/>
      <c r="G221" s="42"/>
      <c r="H221" s="42"/>
      <c r="I221" s="38"/>
      <c r="J221" s="38"/>
      <c r="K221" s="38"/>
      <c r="L221" s="40" t="str">
        <f aca="false">IF($A221="","",IF(LEN(IF($F221="","título, ","")&amp;IF($D221="","veículo, ","")&amp;IF($I221="","tom, ","")&amp;IF($J221="","link, ","")&amp;IF($G221="","alcance, ",""))=0,"OK","Falta "&amp;LEFT(IF($F221="","título, ","")&amp;IF($D221="","veículo, ","")&amp;IF($I221="","tom, ","")&amp;IF($J221="","link, ","")&amp;IF($G221="","alcance, ",""),LEN(IF($F221="","título, ","")&amp;IF($D221="","veículo, ","")&amp;IF($I221="","tom, ","")&amp;IF($J221="","link, ","")&amp;IF($G221="","alcance, ",""))-2)))</f>
        <v/>
      </c>
      <c r="M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8"/>
      <c r="G222" s="42"/>
      <c r="H222" s="42"/>
      <c r="I222" s="38"/>
      <c r="J222" s="38"/>
      <c r="K222" s="38"/>
      <c r="L222" s="40" t="str">
        <f aca="false">IF($A222="","",IF(LEN(IF($F222="","título, ","")&amp;IF($D222="","veículo, ","")&amp;IF($I222="","tom, ","")&amp;IF($J222="","link, ","")&amp;IF($G222="","alcance, ",""))=0,"OK","Falta "&amp;LEFT(IF($F222="","título, ","")&amp;IF($D222="","veículo, ","")&amp;IF($I222="","tom, ","")&amp;IF($J222="","link, ","")&amp;IF($G222="","alcance, ",""),LEN(IF($F222="","título, ","")&amp;IF($D222="","veículo, ","")&amp;IF($I222="","tom, ","")&amp;IF($J222="","link, ","")&amp;IF($G222="","alcance, ",""))-2)))</f>
        <v/>
      </c>
      <c r="M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8"/>
      <c r="G223" s="42"/>
      <c r="H223" s="42"/>
      <c r="I223" s="38"/>
      <c r="J223" s="38"/>
      <c r="K223" s="38"/>
      <c r="L223" s="40" t="str">
        <f aca="false">IF($A223="","",IF(LEN(IF($F223="","título, ","")&amp;IF($D223="","veículo, ","")&amp;IF($I223="","tom, ","")&amp;IF($J223="","link, ","")&amp;IF($G223="","alcance, ",""))=0,"OK","Falta "&amp;LEFT(IF($F223="","título, ","")&amp;IF($D223="","veículo, ","")&amp;IF($I223="","tom, ","")&amp;IF($J223="","link, ","")&amp;IF($G223="","alcance, ",""),LEN(IF($F223="","título, ","")&amp;IF($D223="","veículo, ","")&amp;IF($I223="","tom, ","")&amp;IF($J223="","link, ","")&amp;IF($G223="","alcance, ",""))-2)))</f>
        <v/>
      </c>
      <c r="M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8"/>
      <c r="G224" s="42"/>
      <c r="H224" s="42"/>
      <c r="I224" s="38"/>
      <c r="J224" s="38"/>
      <c r="K224" s="38"/>
      <c r="L224" s="40" t="str">
        <f aca="false">IF($A224="","",IF(LEN(IF($F224="","título, ","")&amp;IF($D224="","veículo, ","")&amp;IF($I224="","tom, ","")&amp;IF($J224="","link, ","")&amp;IF($G224="","alcance, ",""))=0,"OK","Falta "&amp;LEFT(IF($F224="","título, ","")&amp;IF($D224="","veículo, ","")&amp;IF($I224="","tom, ","")&amp;IF($J224="","link, ","")&amp;IF($G224="","alcance, ",""),LEN(IF($F224="","título, ","")&amp;IF($D224="","veículo, ","")&amp;IF($I224="","tom, ","")&amp;IF($J224="","link, ","")&amp;IF($G224="","alcance, ",""))-2)))</f>
        <v/>
      </c>
      <c r="M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8"/>
      <c r="G225" s="42"/>
      <c r="H225" s="42"/>
      <c r="I225" s="38"/>
      <c r="J225" s="38"/>
      <c r="K225" s="38"/>
      <c r="L225" s="40" t="str">
        <f aca="false">IF($A225="","",IF(LEN(IF($F225="","título, ","")&amp;IF($D225="","veículo, ","")&amp;IF($I225="","tom, ","")&amp;IF($J225="","link, ","")&amp;IF($G225="","alcance, ",""))=0,"OK","Falta "&amp;LEFT(IF($F225="","título, ","")&amp;IF($D225="","veículo, ","")&amp;IF($I225="","tom, ","")&amp;IF($J225="","link, ","")&amp;IF($G225="","alcance, ",""),LEN(IF($F225="","título, ","")&amp;IF($D225="","veículo, ","")&amp;IF($I225="","tom, ","")&amp;IF($J225="","link, ","")&amp;IF($G225="","alcance, ",""))-2)))</f>
        <v/>
      </c>
      <c r="M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8"/>
      <c r="G226" s="42"/>
      <c r="H226" s="42"/>
      <c r="I226" s="38"/>
      <c r="J226" s="38"/>
      <c r="K226" s="38"/>
      <c r="L226" s="40" t="str">
        <f aca="false">IF($A226="","",IF(LEN(IF($F226="","título, ","")&amp;IF($D226="","veículo, ","")&amp;IF($I226="","tom, ","")&amp;IF($J226="","link, ","")&amp;IF($G226="","alcance, ",""))=0,"OK","Falta "&amp;LEFT(IF($F226="","título, ","")&amp;IF($D226="","veículo, ","")&amp;IF($I226="","tom, ","")&amp;IF($J226="","link, ","")&amp;IF($G226="","alcance, ",""),LEN(IF($F226="","título, ","")&amp;IF($D226="","veículo, ","")&amp;IF($I226="","tom, ","")&amp;IF($J226="","link, ","")&amp;IF($G226="","alcance, ",""))-2)))</f>
        <v/>
      </c>
      <c r="M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8"/>
      <c r="G227" s="42"/>
      <c r="H227" s="42"/>
      <c r="I227" s="38"/>
      <c r="J227" s="38"/>
      <c r="K227" s="38"/>
      <c r="L227" s="40" t="str">
        <f aca="false">IF($A227="","",IF(LEN(IF($F227="","título, ","")&amp;IF($D227="","veículo, ","")&amp;IF($I227="","tom, ","")&amp;IF($J227="","link, ","")&amp;IF($G227="","alcance, ",""))=0,"OK","Falta "&amp;LEFT(IF($F227="","título, ","")&amp;IF($D227="","veículo, ","")&amp;IF($I227="","tom, ","")&amp;IF($J227="","link, ","")&amp;IF($G227="","alcance, ",""),LEN(IF($F227="","título, ","")&amp;IF($D227="","veículo, ","")&amp;IF($I227="","tom, ","")&amp;IF($J227="","link, ","")&amp;IF($G227="","alcance, ",""))-2)))</f>
        <v/>
      </c>
      <c r="M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8"/>
      <c r="G228" s="42"/>
      <c r="H228" s="42"/>
      <c r="I228" s="38"/>
      <c r="J228" s="38"/>
      <c r="K228" s="38"/>
      <c r="L228" s="40" t="str">
        <f aca="false">IF($A228="","",IF(LEN(IF($F228="","título, ","")&amp;IF($D228="","veículo, ","")&amp;IF($I228="","tom, ","")&amp;IF($J228="","link, ","")&amp;IF($G228="","alcance, ",""))=0,"OK","Falta "&amp;LEFT(IF($F228="","título, ","")&amp;IF($D228="","veículo, ","")&amp;IF($I228="","tom, ","")&amp;IF($J228="","link, ","")&amp;IF($G228="","alcance, ",""),LEN(IF($F228="","título, ","")&amp;IF($D228="","veículo, ","")&amp;IF($I228="","tom, ","")&amp;IF($J228="","link, ","")&amp;IF($G228="","alcance, ",""))-2)))</f>
        <v/>
      </c>
      <c r="M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8"/>
      <c r="G229" s="42"/>
      <c r="H229" s="42"/>
      <c r="I229" s="38"/>
      <c r="J229" s="38"/>
      <c r="K229" s="38"/>
      <c r="L229" s="40" t="str">
        <f aca="false">IF($A229="","",IF(LEN(IF($F229="","título, ","")&amp;IF($D229="","veículo, ","")&amp;IF($I229="","tom, ","")&amp;IF($J229="","link, ","")&amp;IF($G229="","alcance, ",""))=0,"OK","Falta "&amp;LEFT(IF($F229="","título, ","")&amp;IF($D229="","veículo, ","")&amp;IF($I229="","tom, ","")&amp;IF($J229="","link, ","")&amp;IF($G229="","alcance, ",""),LEN(IF($F229="","título, ","")&amp;IF($D229="","veículo, ","")&amp;IF($I229="","tom, ","")&amp;IF($J229="","link, ","")&amp;IF($G229="","alcance, ",""))-2)))</f>
        <v/>
      </c>
      <c r="M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8"/>
      <c r="G230" s="42"/>
      <c r="H230" s="42"/>
      <c r="I230" s="38"/>
      <c r="J230" s="38"/>
      <c r="K230" s="38"/>
      <c r="L230" s="40" t="str">
        <f aca="false">IF($A230="","",IF(LEN(IF($F230="","título, ","")&amp;IF($D230="","veículo, ","")&amp;IF($I230="","tom, ","")&amp;IF($J230="","link, ","")&amp;IF($G230="","alcance, ",""))=0,"OK","Falta "&amp;LEFT(IF($F230="","título, ","")&amp;IF($D230="","veículo, ","")&amp;IF($I230="","tom, ","")&amp;IF($J230="","link, ","")&amp;IF($G230="","alcance, ",""),LEN(IF($F230="","título, ","")&amp;IF($D230="","veículo, ","")&amp;IF($I230="","tom, ","")&amp;IF($J230="","link, ","")&amp;IF($G230="","alcance, ",""))-2)))</f>
        <v/>
      </c>
      <c r="M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8"/>
      <c r="G231" s="42"/>
      <c r="H231" s="42"/>
      <c r="I231" s="38"/>
      <c r="J231" s="38"/>
      <c r="K231" s="38"/>
      <c r="L231" s="40" t="str">
        <f aca="false">IF($A231="","",IF(LEN(IF($F231="","título, ","")&amp;IF($D231="","veículo, ","")&amp;IF($I231="","tom, ","")&amp;IF($J231="","link, ","")&amp;IF($G231="","alcance, ",""))=0,"OK","Falta "&amp;LEFT(IF($F231="","título, ","")&amp;IF($D231="","veículo, ","")&amp;IF($I231="","tom, ","")&amp;IF($J231="","link, ","")&amp;IF($G231="","alcance, ",""),LEN(IF($F231="","título, ","")&amp;IF($D231="","veículo, ","")&amp;IF($I231="","tom, ","")&amp;IF($J231="","link, ","")&amp;IF($G231="","alcance, ",""))-2)))</f>
        <v/>
      </c>
      <c r="M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8"/>
      <c r="G232" s="42"/>
      <c r="H232" s="42"/>
      <c r="I232" s="38"/>
      <c r="J232" s="38"/>
      <c r="K232" s="38"/>
      <c r="L232" s="40" t="str">
        <f aca="false">IF($A232="","",IF(LEN(IF($F232="","título, ","")&amp;IF($D232="","veículo, ","")&amp;IF($I232="","tom, ","")&amp;IF($J232="","link, ","")&amp;IF($G232="","alcance, ",""))=0,"OK","Falta "&amp;LEFT(IF($F232="","título, ","")&amp;IF($D232="","veículo, ","")&amp;IF($I232="","tom, ","")&amp;IF($J232="","link, ","")&amp;IF($G232="","alcance, ",""),LEN(IF($F232="","título, ","")&amp;IF($D232="","veículo, ","")&amp;IF($I232="","tom, ","")&amp;IF($J232="","link, ","")&amp;IF($G232="","alcance, ",""))-2)))</f>
        <v/>
      </c>
      <c r="M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8"/>
      <c r="G233" s="42"/>
      <c r="H233" s="42"/>
      <c r="I233" s="38"/>
      <c r="J233" s="38"/>
      <c r="K233" s="38"/>
      <c r="L233" s="40" t="str">
        <f aca="false">IF($A233="","",IF(LEN(IF($F233="","título, ","")&amp;IF($D233="","veículo, ","")&amp;IF($I233="","tom, ","")&amp;IF($J233="","link, ","")&amp;IF($G233="","alcance, ",""))=0,"OK","Falta "&amp;LEFT(IF($F233="","título, ","")&amp;IF($D233="","veículo, ","")&amp;IF($I233="","tom, ","")&amp;IF($J233="","link, ","")&amp;IF($G233="","alcance, ",""),LEN(IF($F233="","título, ","")&amp;IF($D233="","veículo, ","")&amp;IF($I233="","tom, ","")&amp;IF($J233="","link, ","")&amp;IF($G233="","alcance, ",""))-2)))</f>
        <v/>
      </c>
      <c r="M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8"/>
      <c r="G234" s="42"/>
      <c r="H234" s="42"/>
      <c r="I234" s="38"/>
      <c r="J234" s="38"/>
      <c r="K234" s="38"/>
      <c r="L234" s="40" t="str">
        <f aca="false">IF($A234="","",IF(LEN(IF($F234="","título, ","")&amp;IF($D234="","veículo, ","")&amp;IF($I234="","tom, ","")&amp;IF($J234="","link, ","")&amp;IF($G234="","alcance, ",""))=0,"OK","Falta "&amp;LEFT(IF($F234="","título, ","")&amp;IF($D234="","veículo, ","")&amp;IF($I234="","tom, ","")&amp;IF($J234="","link, ","")&amp;IF($G234="","alcance, ",""),LEN(IF($F234="","título, ","")&amp;IF($D234="","veículo, ","")&amp;IF($I234="","tom, ","")&amp;IF($J234="","link, ","")&amp;IF($G234="","alcance, ",""))-2)))</f>
        <v/>
      </c>
      <c r="M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8"/>
      <c r="G235" s="42"/>
      <c r="H235" s="42"/>
      <c r="I235" s="38"/>
      <c r="J235" s="38"/>
      <c r="K235" s="38"/>
      <c r="L235" s="40" t="str">
        <f aca="false">IF($A235="","",IF(LEN(IF($F235="","título, ","")&amp;IF($D235="","veículo, ","")&amp;IF($I235="","tom, ","")&amp;IF($J235="","link, ","")&amp;IF($G235="","alcance, ",""))=0,"OK","Falta "&amp;LEFT(IF($F235="","título, ","")&amp;IF($D235="","veículo, ","")&amp;IF($I235="","tom, ","")&amp;IF($J235="","link, ","")&amp;IF($G235="","alcance, ",""),LEN(IF($F235="","título, ","")&amp;IF($D235="","veículo, ","")&amp;IF($I235="","tom, ","")&amp;IF($J235="","link, ","")&amp;IF($G235="","alcance, ",""))-2)))</f>
        <v/>
      </c>
      <c r="M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8"/>
      <c r="G236" s="42"/>
      <c r="H236" s="42"/>
      <c r="I236" s="38"/>
      <c r="J236" s="38"/>
      <c r="K236" s="38"/>
      <c r="L236" s="40" t="str">
        <f aca="false">IF($A236="","",IF(LEN(IF($F236="","título, ","")&amp;IF($D236="","veículo, ","")&amp;IF($I236="","tom, ","")&amp;IF($J236="","link, ","")&amp;IF($G236="","alcance, ",""))=0,"OK","Falta "&amp;LEFT(IF($F236="","título, ","")&amp;IF($D236="","veículo, ","")&amp;IF($I236="","tom, ","")&amp;IF($J236="","link, ","")&amp;IF($G236="","alcance, ",""),LEN(IF($F236="","título, ","")&amp;IF($D236="","veículo, ","")&amp;IF($I236="","tom, ","")&amp;IF($J236="","link, ","")&amp;IF($G236="","alcance, ",""))-2)))</f>
        <v/>
      </c>
      <c r="M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8"/>
      <c r="G237" s="42"/>
      <c r="H237" s="42"/>
      <c r="I237" s="38"/>
      <c r="J237" s="38"/>
      <c r="K237" s="38"/>
      <c r="L237" s="40" t="str">
        <f aca="false">IF($A237="","",IF(LEN(IF($F237="","título, ","")&amp;IF($D237="","veículo, ","")&amp;IF($I237="","tom, ","")&amp;IF($J237="","link, ","")&amp;IF($G237="","alcance, ",""))=0,"OK","Falta "&amp;LEFT(IF($F237="","título, ","")&amp;IF($D237="","veículo, ","")&amp;IF($I237="","tom, ","")&amp;IF($J237="","link, ","")&amp;IF($G237="","alcance, ",""),LEN(IF($F237="","título, ","")&amp;IF($D237="","veículo, ","")&amp;IF($I237="","tom, ","")&amp;IF($J237="","link, ","")&amp;IF($G237="","alcance, ",""))-2)))</f>
        <v/>
      </c>
      <c r="M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8"/>
      <c r="G238" s="42"/>
      <c r="H238" s="42"/>
      <c r="I238" s="38"/>
      <c r="J238" s="38"/>
      <c r="K238" s="38"/>
      <c r="L238" s="40" t="str">
        <f aca="false">IF($A238="","",IF(LEN(IF($F238="","título, ","")&amp;IF($D238="","veículo, ","")&amp;IF($I238="","tom, ","")&amp;IF($J238="","link, ","")&amp;IF($G238="","alcance, ",""))=0,"OK","Falta "&amp;LEFT(IF($F238="","título, ","")&amp;IF($D238="","veículo, ","")&amp;IF($I238="","tom, ","")&amp;IF($J238="","link, ","")&amp;IF($G238="","alcance, ",""),LEN(IF($F238="","título, ","")&amp;IF($D238="","veículo, ","")&amp;IF($I238="","tom, ","")&amp;IF($J238="","link, ","")&amp;IF($G238="","alcance, ",""))-2)))</f>
        <v/>
      </c>
      <c r="M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8"/>
      <c r="G239" s="42"/>
      <c r="H239" s="42"/>
      <c r="I239" s="38"/>
      <c r="J239" s="38"/>
      <c r="K239" s="38"/>
      <c r="L239" s="40" t="str">
        <f aca="false">IF($A239="","",IF(LEN(IF($F239="","título, ","")&amp;IF($D239="","veículo, ","")&amp;IF($I239="","tom, ","")&amp;IF($J239="","link, ","")&amp;IF($G239="","alcance, ",""))=0,"OK","Falta "&amp;LEFT(IF($F239="","título, ","")&amp;IF($D239="","veículo, ","")&amp;IF($I239="","tom, ","")&amp;IF($J239="","link, ","")&amp;IF($G239="","alcance, ",""),LEN(IF($F239="","título, ","")&amp;IF($D239="","veículo, ","")&amp;IF($I239="","tom, ","")&amp;IF($J239="","link, ","")&amp;IF($G239="","alcance, ",""))-2)))</f>
        <v/>
      </c>
      <c r="M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8"/>
      <c r="G240" s="42"/>
      <c r="H240" s="42"/>
      <c r="I240" s="38"/>
      <c r="J240" s="38"/>
      <c r="K240" s="38"/>
      <c r="L240" s="40" t="str">
        <f aca="false">IF($A240="","",IF(LEN(IF($F240="","título, ","")&amp;IF($D240="","veículo, ","")&amp;IF($I240="","tom, ","")&amp;IF($J240="","link, ","")&amp;IF($G240="","alcance, ",""))=0,"OK","Falta "&amp;LEFT(IF($F240="","título, ","")&amp;IF($D240="","veículo, ","")&amp;IF($I240="","tom, ","")&amp;IF($J240="","link, ","")&amp;IF($G240="","alcance, ",""),LEN(IF($F240="","título, ","")&amp;IF($D240="","veículo, ","")&amp;IF($I240="","tom, ","")&amp;IF($J240="","link, ","")&amp;IF($G240="","alcance, ",""))-2)))</f>
        <v/>
      </c>
      <c r="M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8"/>
      <c r="G241" s="42"/>
      <c r="H241" s="42"/>
      <c r="I241" s="38"/>
      <c r="J241" s="38"/>
      <c r="K241" s="38"/>
      <c r="L241" s="40" t="str">
        <f aca="false">IF($A241="","",IF(LEN(IF($F241="","título, ","")&amp;IF($D241="","veículo, ","")&amp;IF($I241="","tom, ","")&amp;IF($J241="","link, ","")&amp;IF($G241="","alcance, ",""))=0,"OK","Falta "&amp;LEFT(IF($F241="","título, ","")&amp;IF($D241="","veículo, ","")&amp;IF($I241="","tom, ","")&amp;IF($J241="","link, ","")&amp;IF($G241="","alcance, ",""),LEN(IF($F241="","título, ","")&amp;IF($D241="","veículo, ","")&amp;IF($I241="","tom, ","")&amp;IF($J241="","link, ","")&amp;IF($G241="","alcance, ",""))-2)))</f>
        <v/>
      </c>
      <c r="M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8"/>
      <c r="G242" s="42"/>
      <c r="H242" s="42"/>
      <c r="I242" s="38"/>
      <c r="J242" s="38"/>
      <c r="K242" s="38"/>
      <c r="L242" s="40" t="str">
        <f aca="false">IF($A242="","",IF(LEN(IF($F242="","título, ","")&amp;IF($D242="","veículo, ","")&amp;IF($I242="","tom, ","")&amp;IF($J242="","link, ","")&amp;IF($G242="","alcance, ",""))=0,"OK","Falta "&amp;LEFT(IF($F242="","título, ","")&amp;IF($D242="","veículo, ","")&amp;IF($I242="","tom, ","")&amp;IF($J242="","link, ","")&amp;IF($G242="","alcance, ",""),LEN(IF($F242="","título, ","")&amp;IF($D242="","veículo, ","")&amp;IF($I242="","tom, ","")&amp;IF($J242="","link, ","")&amp;IF($G242="","alcance, ",""))-2)))</f>
        <v/>
      </c>
      <c r="M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8"/>
      <c r="G243" s="42"/>
      <c r="H243" s="42"/>
      <c r="I243" s="38"/>
      <c r="J243" s="38"/>
      <c r="K243" s="38"/>
      <c r="L243" s="40" t="str">
        <f aca="false">IF($A243="","",IF(LEN(IF($F243="","título, ","")&amp;IF($D243="","veículo, ","")&amp;IF($I243="","tom, ","")&amp;IF($J243="","link, ","")&amp;IF($G243="","alcance, ",""))=0,"OK","Falta "&amp;LEFT(IF($F243="","título, ","")&amp;IF($D243="","veículo, ","")&amp;IF($I243="","tom, ","")&amp;IF($J243="","link, ","")&amp;IF($G243="","alcance, ",""),LEN(IF($F243="","título, ","")&amp;IF($D243="","veículo, ","")&amp;IF($I243="","tom, ","")&amp;IF($J243="","link, ","")&amp;IF($G243="","alcance, ",""))-2)))</f>
        <v/>
      </c>
      <c r="M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8"/>
      <c r="G244" s="42"/>
      <c r="H244" s="42"/>
      <c r="I244" s="38"/>
      <c r="J244" s="38"/>
      <c r="K244" s="38"/>
      <c r="L244" s="40" t="str">
        <f aca="false">IF($A244="","",IF(LEN(IF($F244="","título, ","")&amp;IF($D244="","veículo, ","")&amp;IF($I244="","tom, ","")&amp;IF($J244="","link, ","")&amp;IF($G244="","alcance, ",""))=0,"OK","Falta "&amp;LEFT(IF($F244="","título, ","")&amp;IF($D244="","veículo, ","")&amp;IF($I244="","tom, ","")&amp;IF($J244="","link, ","")&amp;IF($G244="","alcance, ",""),LEN(IF($F244="","título, ","")&amp;IF($D244="","veículo, ","")&amp;IF($I244="","tom, ","")&amp;IF($J244="","link, ","")&amp;IF($G244="","alcance, ",""))-2)))</f>
        <v/>
      </c>
      <c r="M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8"/>
      <c r="G245" s="42"/>
      <c r="H245" s="42"/>
      <c r="I245" s="38"/>
      <c r="J245" s="38"/>
      <c r="K245" s="38"/>
      <c r="L245" s="40" t="str">
        <f aca="false">IF($A245="","",IF(LEN(IF($F245="","título, ","")&amp;IF($D245="","veículo, ","")&amp;IF($I245="","tom, ","")&amp;IF($J245="","link, ","")&amp;IF($G245="","alcance, ",""))=0,"OK","Falta "&amp;LEFT(IF($F245="","título, ","")&amp;IF($D245="","veículo, ","")&amp;IF($I245="","tom, ","")&amp;IF($J245="","link, ","")&amp;IF($G245="","alcance, ",""),LEN(IF($F245="","título, ","")&amp;IF($D245="","veículo, ","")&amp;IF($I245="","tom, ","")&amp;IF($J245="","link, ","")&amp;IF($G245="","alcance, ",""))-2)))</f>
        <v/>
      </c>
      <c r="M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8"/>
      <c r="G246" s="42"/>
      <c r="H246" s="42"/>
      <c r="I246" s="38"/>
      <c r="J246" s="38"/>
      <c r="K246" s="38"/>
      <c r="L246" s="40" t="str">
        <f aca="false">IF($A246="","",IF(LEN(IF($F246="","título, ","")&amp;IF($D246="","veículo, ","")&amp;IF($I246="","tom, ","")&amp;IF($J246="","link, ","")&amp;IF($G246="","alcance, ",""))=0,"OK","Falta "&amp;LEFT(IF($F246="","título, ","")&amp;IF($D246="","veículo, ","")&amp;IF($I246="","tom, ","")&amp;IF($J246="","link, ","")&amp;IF($G246="","alcance, ",""),LEN(IF($F246="","título, ","")&amp;IF($D246="","veículo, ","")&amp;IF($I246="","tom, ","")&amp;IF($J246="","link, ","")&amp;IF($G246="","alcance, ",""))-2)))</f>
        <v/>
      </c>
      <c r="M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8"/>
      <c r="G247" s="42"/>
      <c r="H247" s="42"/>
      <c r="I247" s="38"/>
      <c r="J247" s="38"/>
      <c r="K247" s="38"/>
      <c r="L247" s="40" t="str">
        <f aca="false">IF($A247="","",IF(LEN(IF($F247="","título, ","")&amp;IF($D247="","veículo, ","")&amp;IF($I247="","tom, ","")&amp;IF($J247="","link, ","")&amp;IF($G247="","alcance, ",""))=0,"OK","Falta "&amp;LEFT(IF($F247="","título, ","")&amp;IF($D247="","veículo, ","")&amp;IF($I247="","tom, ","")&amp;IF($J247="","link, ","")&amp;IF($G247="","alcance, ",""),LEN(IF($F247="","título, ","")&amp;IF($D247="","veículo, ","")&amp;IF($I247="","tom, ","")&amp;IF($J247="","link, ","")&amp;IF($G247="","alcance, ",""))-2)))</f>
        <v/>
      </c>
      <c r="M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8"/>
      <c r="G248" s="42"/>
      <c r="H248" s="42"/>
      <c r="I248" s="38"/>
      <c r="J248" s="38"/>
      <c r="K248" s="38"/>
      <c r="L248" s="40" t="str">
        <f aca="false">IF($A248="","",IF(LEN(IF($F248="","título, ","")&amp;IF($D248="","veículo, ","")&amp;IF($I248="","tom, ","")&amp;IF($J248="","link, ","")&amp;IF($G248="","alcance, ",""))=0,"OK","Falta "&amp;LEFT(IF($F248="","título, ","")&amp;IF($D248="","veículo, ","")&amp;IF($I248="","tom, ","")&amp;IF($J248="","link, ","")&amp;IF($G248="","alcance, ",""),LEN(IF($F248="","título, ","")&amp;IF($D248="","veículo, ","")&amp;IF($I248="","tom, ","")&amp;IF($J248="","link, ","")&amp;IF($G248="","alcance, ",""))-2)))</f>
        <v/>
      </c>
      <c r="M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8"/>
      <c r="G249" s="42"/>
      <c r="H249" s="42"/>
      <c r="I249" s="38"/>
      <c r="J249" s="38"/>
      <c r="K249" s="38"/>
      <c r="L249" s="40" t="str">
        <f aca="false">IF($A249="","",IF(LEN(IF($F249="","título, ","")&amp;IF($D249="","veículo, ","")&amp;IF($I249="","tom, ","")&amp;IF($J249="","link, ","")&amp;IF($G249="","alcance, ",""))=0,"OK","Falta "&amp;LEFT(IF($F249="","título, ","")&amp;IF($D249="","veículo, ","")&amp;IF($I249="","tom, ","")&amp;IF($J249="","link, ","")&amp;IF($G249="","alcance, ",""),LEN(IF($F249="","título, ","")&amp;IF($D249="","veículo, ","")&amp;IF($I249="","tom, ","")&amp;IF($J249="","link, ","")&amp;IF($G249="","alcance, ",""))-2)))</f>
        <v/>
      </c>
      <c r="M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8"/>
      <c r="G250" s="42"/>
      <c r="H250" s="42"/>
      <c r="I250" s="38"/>
      <c r="J250" s="38"/>
      <c r="K250" s="38"/>
      <c r="L250" s="40" t="str">
        <f aca="false">IF($A250="","",IF(LEN(IF($F250="","título, ","")&amp;IF($D250="","veículo, ","")&amp;IF($I250="","tom, ","")&amp;IF($J250="","link, ","")&amp;IF($G250="","alcance, ",""))=0,"OK","Falta "&amp;LEFT(IF($F250="","título, ","")&amp;IF($D250="","veículo, ","")&amp;IF($I250="","tom, ","")&amp;IF($J250="","link, ","")&amp;IF($G250="","alcance, ",""),LEN(IF($F250="","título, ","")&amp;IF($D250="","veículo, ","")&amp;IF($I250="","tom, ","")&amp;IF($J250="","link, ","")&amp;IF($G250="","alcance, ",""))-2)))</f>
        <v/>
      </c>
      <c r="M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8"/>
      <c r="G251" s="42"/>
      <c r="H251" s="42"/>
      <c r="I251" s="38"/>
      <c r="J251" s="38"/>
      <c r="K251" s="38"/>
      <c r="L251" s="40" t="str">
        <f aca="false">IF($A251="","",IF(LEN(IF($F251="","título, ","")&amp;IF($D251="","veículo, ","")&amp;IF($I251="","tom, ","")&amp;IF($J251="","link, ","")&amp;IF($G251="","alcance, ",""))=0,"OK","Falta "&amp;LEFT(IF($F251="","título, ","")&amp;IF($D251="","veículo, ","")&amp;IF($I251="","tom, ","")&amp;IF($J251="","link, ","")&amp;IF($G251="","alcance, ",""),LEN(IF($F251="","título, ","")&amp;IF($D251="","veículo, ","")&amp;IF($I251="","tom, ","")&amp;IF($J251="","link, ","")&amp;IF($G251="","alcance, ",""))-2)))</f>
        <v/>
      </c>
      <c r="M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8"/>
      <c r="G252" s="42"/>
      <c r="H252" s="42"/>
      <c r="I252" s="38"/>
      <c r="J252" s="38"/>
      <c r="K252" s="38"/>
      <c r="L252" s="40" t="str">
        <f aca="false">IF($A252="","",IF(LEN(IF($F252="","título, ","")&amp;IF($D252="","veículo, ","")&amp;IF($I252="","tom, ","")&amp;IF($J252="","link, ","")&amp;IF($G252="","alcance, ",""))=0,"OK","Falta "&amp;LEFT(IF($F252="","título, ","")&amp;IF($D252="","veículo, ","")&amp;IF($I252="","tom, ","")&amp;IF($J252="","link, ","")&amp;IF($G252="","alcance, ",""),LEN(IF($F252="","título, ","")&amp;IF($D252="","veículo, ","")&amp;IF($I252="","tom, ","")&amp;IF($J252="","link, ","")&amp;IF($G252="","alcance, ",""))-2)))</f>
        <v/>
      </c>
      <c r="M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8"/>
      <c r="G253" s="42"/>
      <c r="H253" s="42"/>
      <c r="I253" s="38"/>
      <c r="J253" s="38"/>
      <c r="K253" s="38"/>
      <c r="L253" s="40" t="str">
        <f aca="false">IF($A253="","",IF(LEN(IF($F253="","título, ","")&amp;IF($D253="","veículo, ","")&amp;IF($I253="","tom, ","")&amp;IF($J253="","link, ","")&amp;IF($G253="","alcance, ",""))=0,"OK","Falta "&amp;LEFT(IF($F253="","título, ","")&amp;IF($D253="","veículo, ","")&amp;IF($I253="","tom, ","")&amp;IF($J253="","link, ","")&amp;IF($G253="","alcance, ",""),LEN(IF($F253="","título, ","")&amp;IF($D253="","veículo, ","")&amp;IF($I253="","tom, ","")&amp;IF($J253="","link, ","")&amp;IF($G253="","alcance, ",""))-2)))</f>
        <v/>
      </c>
      <c r="M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8"/>
      <c r="G254" s="42"/>
      <c r="H254" s="42"/>
      <c r="I254" s="38"/>
      <c r="J254" s="38"/>
      <c r="K254" s="38"/>
      <c r="L254" s="40" t="str">
        <f aca="false">IF($A254="","",IF(LEN(IF($F254="","título, ","")&amp;IF($D254="","veículo, ","")&amp;IF($I254="","tom, ","")&amp;IF($J254="","link, ","")&amp;IF($G254="","alcance, ",""))=0,"OK","Falta "&amp;LEFT(IF($F254="","título, ","")&amp;IF($D254="","veículo, ","")&amp;IF($I254="","tom, ","")&amp;IF($J254="","link, ","")&amp;IF($G254="","alcance, ",""),LEN(IF($F254="","título, ","")&amp;IF($D254="","veículo, ","")&amp;IF($I254="","tom, ","")&amp;IF($J254="","link, ","")&amp;IF($G254="","alcance, ",""))-2)))</f>
        <v/>
      </c>
      <c r="M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8"/>
      <c r="G255" s="42"/>
      <c r="H255" s="42"/>
      <c r="I255" s="38"/>
      <c r="J255" s="38"/>
      <c r="K255" s="38"/>
      <c r="L255" s="40" t="str">
        <f aca="false">IF($A255="","",IF(LEN(IF($F255="","título, ","")&amp;IF($D255="","veículo, ","")&amp;IF($I255="","tom, ","")&amp;IF($J255="","link, ","")&amp;IF($G255="","alcance, ",""))=0,"OK","Falta "&amp;LEFT(IF($F255="","título, ","")&amp;IF($D255="","veículo, ","")&amp;IF($I255="","tom, ","")&amp;IF($J255="","link, ","")&amp;IF($G255="","alcance, ",""),LEN(IF($F255="","título, ","")&amp;IF($D255="","veículo, ","")&amp;IF($I255="","tom, ","")&amp;IF($J255="","link, ","")&amp;IF($G255="","alcance, ",""))-2)))</f>
        <v/>
      </c>
      <c r="M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8"/>
      <c r="G256" s="42"/>
      <c r="H256" s="42"/>
      <c r="I256" s="38"/>
      <c r="J256" s="38"/>
      <c r="K256" s="38"/>
      <c r="L256" s="40" t="str">
        <f aca="false">IF($A256="","",IF(LEN(IF($F256="","título, ","")&amp;IF($D256="","veículo, ","")&amp;IF($I256="","tom, ","")&amp;IF($J256="","link, ","")&amp;IF($G256="","alcance, ",""))=0,"OK","Falta "&amp;LEFT(IF($F256="","título, ","")&amp;IF($D256="","veículo, ","")&amp;IF($I256="","tom, ","")&amp;IF($J256="","link, ","")&amp;IF($G256="","alcance, ",""),LEN(IF($F256="","título, ","")&amp;IF($D256="","veículo, ","")&amp;IF($I256="","tom, ","")&amp;IF($J256="","link, ","")&amp;IF($G256="","alcance, ",""))-2)))</f>
        <v/>
      </c>
      <c r="M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8"/>
      <c r="G257" s="42"/>
      <c r="H257" s="42"/>
      <c r="I257" s="38"/>
      <c r="J257" s="38"/>
      <c r="K257" s="38"/>
      <c r="L257" s="40" t="str">
        <f aca="false">IF($A257="","",IF(LEN(IF($F257="","título, ","")&amp;IF($D257="","veículo, ","")&amp;IF($I257="","tom, ","")&amp;IF($J257="","link, ","")&amp;IF($G257="","alcance, ",""))=0,"OK","Falta "&amp;LEFT(IF($F257="","título, ","")&amp;IF($D257="","veículo, ","")&amp;IF($I257="","tom, ","")&amp;IF($J257="","link, ","")&amp;IF($G257="","alcance, ",""),LEN(IF($F257="","título, ","")&amp;IF($D257="","veículo, ","")&amp;IF($I257="","tom, ","")&amp;IF($J257="","link, ","")&amp;IF($G257="","alcance, ",""))-2)))</f>
        <v/>
      </c>
      <c r="M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8"/>
      <c r="G258" s="42"/>
      <c r="H258" s="42"/>
      <c r="I258" s="38"/>
      <c r="J258" s="38"/>
      <c r="K258" s="38"/>
      <c r="L258" s="40" t="str">
        <f aca="false">IF($A258="","",IF(LEN(IF($F258="","título, ","")&amp;IF($D258="","veículo, ","")&amp;IF($I258="","tom, ","")&amp;IF($J258="","link, ","")&amp;IF($G258="","alcance, ",""))=0,"OK","Falta "&amp;LEFT(IF($F258="","título, ","")&amp;IF($D258="","veículo, ","")&amp;IF($I258="","tom, ","")&amp;IF($J258="","link, ","")&amp;IF($G258="","alcance, ",""),LEN(IF($F258="","título, ","")&amp;IF($D258="","veículo, ","")&amp;IF($I258="","tom, ","")&amp;IF($J258="","link, ","")&amp;IF($G258="","alcance, ",""))-2)))</f>
        <v/>
      </c>
      <c r="M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8"/>
      <c r="G259" s="42"/>
      <c r="H259" s="42"/>
      <c r="I259" s="38"/>
      <c r="J259" s="38"/>
      <c r="K259" s="38"/>
      <c r="L259" s="40" t="str">
        <f aca="false">IF($A259="","",IF(LEN(IF($F259="","título, ","")&amp;IF($D259="","veículo, ","")&amp;IF($I259="","tom, ","")&amp;IF($J259="","link, ","")&amp;IF($G259="","alcance, ",""))=0,"OK","Falta "&amp;LEFT(IF($F259="","título, ","")&amp;IF($D259="","veículo, ","")&amp;IF($I259="","tom, ","")&amp;IF($J259="","link, ","")&amp;IF($G259="","alcance, ",""),LEN(IF($F259="","título, ","")&amp;IF($D259="","veículo, ","")&amp;IF($I259="","tom, ","")&amp;IF($J259="","link, ","")&amp;IF($G259="","alcance, ",""))-2)))</f>
        <v/>
      </c>
      <c r="M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8"/>
      <c r="G260" s="42"/>
      <c r="H260" s="42"/>
      <c r="I260" s="38"/>
      <c r="J260" s="38"/>
      <c r="K260" s="38"/>
      <c r="L260" s="40" t="str">
        <f aca="false">IF($A260="","",IF(LEN(IF($F260="","título, ","")&amp;IF($D260="","veículo, ","")&amp;IF($I260="","tom, ","")&amp;IF($J260="","link, ","")&amp;IF($G260="","alcance, ",""))=0,"OK","Falta "&amp;LEFT(IF($F260="","título, ","")&amp;IF($D260="","veículo, ","")&amp;IF($I260="","tom, ","")&amp;IF($J260="","link, ","")&amp;IF($G260="","alcance, ",""),LEN(IF($F260="","título, ","")&amp;IF($D260="","veículo, ","")&amp;IF($I260="","tom, ","")&amp;IF($J260="","link, ","")&amp;IF($G260="","alcance, ",""))-2)))</f>
        <v/>
      </c>
      <c r="M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8"/>
      <c r="G261" s="42"/>
      <c r="H261" s="42"/>
      <c r="I261" s="38"/>
      <c r="J261" s="38"/>
      <c r="K261" s="38"/>
      <c r="L261" s="40" t="str">
        <f aca="false">IF($A261="","",IF(LEN(IF($F261="","título, ","")&amp;IF($D261="","veículo, ","")&amp;IF($I261="","tom, ","")&amp;IF($J261="","link, ","")&amp;IF($G261="","alcance, ",""))=0,"OK","Falta "&amp;LEFT(IF($F261="","título, ","")&amp;IF($D261="","veículo, ","")&amp;IF($I261="","tom, ","")&amp;IF($J261="","link, ","")&amp;IF($G261="","alcance, ",""),LEN(IF($F261="","título, ","")&amp;IF($D261="","veículo, ","")&amp;IF($I261="","tom, ","")&amp;IF($J261="","link, ","")&amp;IF($G261="","alcance, ",""))-2)))</f>
        <v/>
      </c>
      <c r="M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8"/>
      <c r="G262" s="42"/>
      <c r="H262" s="42"/>
      <c r="I262" s="38"/>
      <c r="J262" s="38"/>
      <c r="K262" s="38"/>
      <c r="L262" s="40" t="str">
        <f aca="false">IF($A262="","",IF(LEN(IF($F262="","título, ","")&amp;IF($D262="","veículo, ","")&amp;IF($I262="","tom, ","")&amp;IF($J262="","link, ","")&amp;IF($G262="","alcance, ",""))=0,"OK","Falta "&amp;LEFT(IF($F262="","título, ","")&amp;IF($D262="","veículo, ","")&amp;IF($I262="","tom, ","")&amp;IF($J262="","link, ","")&amp;IF($G262="","alcance, ",""),LEN(IF($F262="","título, ","")&amp;IF($D262="","veículo, ","")&amp;IF($I262="","tom, ","")&amp;IF($J262="","link, ","")&amp;IF($G262="","alcance, ",""))-2)))</f>
        <v/>
      </c>
      <c r="M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8"/>
      <c r="G263" s="42"/>
      <c r="H263" s="42"/>
      <c r="I263" s="38"/>
      <c r="J263" s="38"/>
      <c r="K263" s="38"/>
      <c r="L263" s="40" t="str">
        <f aca="false">IF($A263="","",IF(LEN(IF($F263="","título, ","")&amp;IF($D263="","veículo, ","")&amp;IF($I263="","tom, ","")&amp;IF($J263="","link, ","")&amp;IF($G263="","alcance, ",""))=0,"OK","Falta "&amp;LEFT(IF($F263="","título, ","")&amp;IF($D263="","veículo, ","")&amp;IF($I263="","tom, ","")&amp;IF($J263="","link, ","")&amp;IF($G263="","alcance, ",""),LEN(IF($F263="","título, ","")&amp;IF($D263="","veículo, ","")&amp;IF($I263="","tom, ","")&amp;IF($J263="","link, ","")&amp;IF($G263="","alcance, ",""))-2)))</f>
        <v/>
      </c>
      <c r="M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8"/>
      <c r="G264" s="42"/>
      <c r="H264" s="42"/>
      <c r="I264" s="38"/>
      <c r="J264" s="38"/>
      <c r="K264" s="38"/>
      <c r="L264" s="40" t="str">
        <f aca="false">IF($A264="","",IF(LEN(IF($F264="","título, ","")&amp;IF($D264="","veículo, ","")&amp;IF($I264="","tom, ","")&amp;IF($J264="","link, ","")&amp;IF($G264="","alcance, ",""))=0,"OK","Falta "&amp;LEFT(IF($F264="","título, ","")&amp;IF($D264="","veículo, ","")&amp;IF($I264="","tom, ","")&amp;IF($J264="","link, ","")&amp;IF($G264="","alcance, ",""),LEN(IF($F264="","título, ","")&amp;IF($D264="","veículo, ","")&amp;IF($I264="","tom, ","")&amp;IF($J264="","link, ","")&amp;IF($G264="","alcance, ",""))-2)))</f>
        <v/>
      </c>
      <c r="M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8"/>
      <c r="G265" s="42"/>
      <c r="H265" s="42"/>
      <c r="I265" s="38"/>
      <c r="J265" s="38"/>
      <c r="K265" s="38"/>
      <c r="L265" s="40" t="str">
        <f aca="false">IF($A265="","",IF(LEN(IF($F265="","título, ","")&amp;IF($D265="","veículo, ","")&amp;IF($I265="","tom, ","")&amp;IF($J265="","link, ","")&amp;IF($G265="","alcance, ",""))=0,"OK","Falta "&amp;LEFT(IF($F265="","título, ","")&amp;IF($D265="","veículo, ","")&amp;IF($I265="","tom, ","")&amp;IF($J265="","link, ","")&amp;IF($G265="","alcance, ",""),LEN(IF($F265="","título, ","")&amp;IF($D265="","veículo, ","")&amp;IF($I265="","tom, ","")&amp;IF($J265="","link, ","")&amp;IF($G265="","alcance, ",""))-2)))</f>
        <v/>
      </c>
      <c r="M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8"/>
      <c r="G266" s="42"/>
      <c r="H266" s="42"/>
      <c r="I266" s="38"/>
      <c r="J266" s="38"/>
      <c r="K266" s="38"/>
      <c r="L266" s="40" t="str">
        <f aca="false">IF($A266="","",IF(LEN(IF($F266="","título, ","")&amp;IF($D266="","veículo, ","")&amp;IF($I266="","tom, ","")&amp;IF($J266="","link, ","")&amp;IF($G266="","alcance, ",""))=0,"OK","Falta "&amp;LEFT(IF($F266="","título, ","")&amp;IF($D266="","veículo, ","")&amp;IF($I266="","tom, ","")&amp;IF($J266="","link, ","")&amp;IF($G266="","alcance, ",""),LEN(IF($F266="","título, ","")&amp;IF($D266="","veículo, ","")&amp;IF($I266="","tom, ","")&amp;IF($J266="","link, ","")&amp;IF($G266="","alcance, ",""))-2)))</f>
        <v/>
      </c>
      <c r="M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8"/>
      <c r="G267" s="42"/>
      <c r="H267" s="42"/>
      <c r="I267" s="38"/>
      <c r="J267" s="38"/>
      <c r="K267" s="38"/>
      <c r="L267" s="40" t="str">
        <f aca="false">IF($A267="","",IF(LEN(IF($F267="","título, ","")&amp;IF($D267="","veículo, ","")&amp;IF($I267="","tom, ","")&amp;IF($J267="","link, ","")&amp;IF($G267="","alcance, ",""))=0,"OK","Falta "&amp;LEFT(IF($F267="","título, ","")&amp;IF($D267="","veículo, ","")&amp;IF($I267="","tom, ","")&amp;IF($J267="","link, ","")&amp;IF($G267="","alcance, ",""),LEN(IF($F267="","título, ","")&amp;IF($D267="","veículo, ","")&amp;IF($I267="","tom, ","")&amp;IF($J267="","link, ","")&amp;IF($G267="","alcance, ",""))-2)))</f>
        <v/>
      </c>
      <c r="M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8"/>
      <c r="G268" s="42"/>
      <c r="H268" s="42"/>
      <c r="I268" s="38"/>
      <c r="J268" s="38"/>
      <c r="K268" s="38"/>
      <c r="L268" s="40" t="str">
        <f aca="false">IF($A268="","",IF(LEN(IF($F268="","título, ","")&amp;IF($D268="","veículo, ","")&amp;IF($I268="","tom, ","")&amp;IF($J268="","link, ","")&amp;IF($G268="","alcance, ",""))=0,"OK","Falta "&amp;LEFT(IF($F268="","título, ","")&amp;IF($D268="","veículo, ","")&amp;IF($I268="","tom, ","")&amp;IF($J268="","link, ","")&amp;IF($G268="","alcance, ",""),LEN(IF($F268="","título, ","")&amp;IF($D268="","veículo, ","")&amp;IF($I268="","tom, ","")&amp;IF($J268="","link, ","")&amp;IF($G268="","alcance, ",""))-2)))</f>
        <v/>
      </c>
      <c r="M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8"/>
      <c r="G269" s="42"/>
      <c r="H269" s="42"/>
      <c r="I269" s="38"/>
      <c r="J269" s="38"/>
      <c r="K269" s="38"/>
      <c r="L269" s="40" t="str">
        <f aca="false">IF($A269="","",IF(LEN(IF($F269="","título, ","")&amp;IF($D269="","veículo, ","")&amp;IF($I269="","tom, ","")&amp;IF($J269="","link, ","")&amp;IF($G269="","alcance, ",""))=0,"OK","Falta "&amp;LEFT(IF($F269="","título, ","")&amp;IF($D269="","veículo, ","")&amp;IF($I269="","tom, ","")&amp;IF($J269="","link, ","")&amp;IF($G269="","alcance, ",""),LEN(IF($F269="","título, ","")&amp;IF($D269="","veículo, ","")&amp;IF($I269="","tom, ","")&amp;IF($J269="","link, ","")&amp;IF($G269="","alcance, ",""))-2)))</f>
        <v/>
      </c>
      <c r="M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8"/>
      <c r="G270" s="42"/>
      <c r="H270" s="42"/>
      <c r="I270" s="38"/>
      <c r="J270" s="38"/>
      <c r="K270" s="38"/>
      <c r="L270" s="40" t="str">
        <f aca="false">IF($A270="","",IF(LEN(IF($F270="","título, ","")&amp;IF($D270="","veículo, ","")&amp;IF($I270="","tom, ","")&amp;IF($J270="","link, ","")&amp;IF($G270="","alcance, ",""))=0,"OK","Falta "&amp;LEFT(IF($F270="","título, ","")&amp;IF($D270="","veículo, ","")&amp;IF($I270="","tom, ","")&amp;IF($J270="","link, ","")&amp;IF($G270="","alcance, ",""),LEN(IF($F270="","título, ","")&amp;IF($D270="","veículo, ","")&amp;IF($I270="","tom, ","")&amp;IF($J270="","link, ","")&amp;IF($G270="","alcance, ",""))-2)))</f>
        <v/>
      </c>
      <c r="M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8"/>
      <c r="G271" s="42"/>
      <c r="H271" s="42"/>
      <c r="I271" s="38"/>
      <c r="J271" s="38"/>
      <c r="K271" s="38"/>
      <c r="L271" s="40" t="str">
        <f aca="false">IF($A271="","",IF(LEN(IF($F271="","título, ","")&amp;IF($D271="","veículo, ","")&amp;IF($I271="","tom, ","")&amp;IF($J271="","link, ","")&amp;IF($G271="","alcance, ",""))=0,"OK","Falta "&amp;LEFT(IF($F271="","título, ","")&amp;IF($D271="","veículo, ","")&amp;IF($I271="","tom, ","")&amp;IF($J271="","link, ","")&amp;IF($G271="","alcance, ",""),LEN(IF($F271="","título, ","")&amp;IF($D271="","veículo, ","")&amp;IF($I271="","tom, ","")&amp;IF($J271="","link, ","")&amp;IF($G271="","alcance, ",""))-2)))</f>
        <v/>
      </c>
      <c r="M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8"/>
      <c r="G272" s="42"/>
      <c r="H272" s="42"/>
      <c r="I272" s="38"/>
      <c r="J272" s="38"/>
      <c r="K272" s="38"/>
      <c r="L272" s="40" t="str">
        <f aca="false">IF($A272="","",IF(LEN(IF($F272="","título, ","")&amp;IF($D272="","veículo, ","")&amp;IF($I272="","tom, ","")&amp;IF($J272="","link, ","")&amp;IF($G272="","alcance, ",""))=0,"OK","Falta "&amp;LEFT(IF($F272="","título, ","")&amp;IF($D272="","veículo, ","")&amp;IF($I272="","tom, ","")&amp;IF($J272="","link, ","")&amp;IF($G272="","alcance, ",""),LEN(IF($F272="","título, ","")&amp;IF($D272="","veículo, ","")&amp;IF($I272="","tom, ","")&amp;IF($J272="","link, ","")&amp;IF($G272="","alcance, ",""))-2)))</f>
        <v/>
      </c>
      <c r="M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8"/>
      <c r="G273" s="42"/>
      <c r="H273" s="42"/>
      <c r="I273" s="38"/>
      <c r="J273" s="38"/>
      <c r="K273" s="38"/>
      <c r="L273" s="40" t="str">
        <f aca="false">IF($A273="","",IF(LEN(IF($F273="","título, ","")&amp;IF($D273="","veículo, ","")&amp;IF($I273="","tom, ","")&amp;IF($J273="","link, ","")&amp;IF($G273="","alcance, ",""))=0,"OK","Falta "&amp;LEFT(IF($F273="","título, ","")&amp;IF($D273="","veículo, ","")&amp;IF($I273="","tom, ","")&amp;IF($J273="","link, ","")&amp;IF($G273="","alcance, ",""),LEN(IF($F273="","título, ","")&amp;IF($D273="","veículo, ","")&amp;IF($I273="","tom, ","")&amp;IF($J273="","link, ","")&amp;IF($G273="","alcance, ",""))-2)))</f>
        <v/>
      </c>
      <c r="M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8"/>
      <c r="G274" s="42"/>
      <c r="H274" s="42"/>
      <c r="I274" s="38"/>
      <c r="J274" s="38"/>
      <c r="K274" s="38"/>
      <c r="L274" s="40" t="str">
        <f aca="false">IF($A274="","",IF(LEN(IF($F274="","título, ","")&amp;IF($D274="","veículo, ","")&amp;IF($I274="","tom, ","")&amp;IF($J274="","link, ","")&amp;IF($G274="","alcance, ",""))=0,"OK","Falta "&amp;LEFT(IF($F274="","título, ","")&amp;IF($D274="","veículo, ","")&amp;IF($I274="","tom, ","")&amp;IF($J274="","link, ","")&amp;IF($G274="","alcance, ",""),LEN(IF($F274="","título, ","")&amp;IF($D274="","veículo, ","")&amp;IF($I274="","tom, ","")&amp;IF($J274="","link, ","")&amp;IF($G274="","alcance, ",""))-2)))</f>
        <v/>
      </c>
      <c r="M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8"/>
      <c r="G275" s="42"/>
      <c r="H275" s="42"/>
      <c r="I275" s="38"/>
      <c r="J275" s="38"/>
      <c r="K275" s="38"/>
      <c r="L275" s="40" t="str">
        <f aca="false">IF($A275="","",IF(LEN(IF($F275="","título, ","")&amp;IF($D275="","veículo, ","")&amp;IF($I275="","tom, ","")&amp;IF($J275="","link, ","")&amp;IF($G275="","alcance, ",""))=0,"OK","Falta "&amp;LEFT(IF($F275="","título, ","")&amp;IF($D275="","veículo, ","")&amp;IF($I275="","tom, ","")&amp;IF($J275="","link, ","")&amp;IF($G275="","alcance, ",""),LEN(IF($F275="","título, ","")&amp;IF($D275="","veículo, ","")&amp;IF($I275="","tom, ","")&amp;IF($J275="","link, ","")&amp;IF($G275="","alcance, ",""))-2)))</f>
        <v/>
      </c>
      <c r="M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8"/>
      <c r="G276" s="42"/>
      <c r="H276" s="42"/>
      <c r="I276" s="38"/>
      <c r="J276" s="38"/>
      <c r="K276" s="38"/>
      <c r="L276" s="40" t="str">
        <f aca="false">IF($A276="","",IF(LEN(IF($F276="","título, ","")&amp;IF($D276="","veículo, ","")&amp;IF($I276="","tom, ","")&amp;IF($J276="","link, ","")&amp;IF($G276="","alcance, ",""))=0,"OK","Falta "&amp;LEFT(IF($F276="","título, ","")&amp;IF($D276="","veículo, ","")&amp;IF($I276="","tom, ","")&amp;IF($J276="","link, ","")&amp;IF($G276="","alcance, ",""),LEN(IF($F276="","título, ","")&amp;IF($D276="","veículo, ","")&amp;IF($I276="","tom, ","")&amp;IF($J276="","link, ","")&amp;IF($G276="","alcance, ",""))-2)))</f>
        <v/>
      </c>
      <c r="M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8"/>
      <c r="G277" s="42"/>
      <c r="H277" s="42"/>
      <c r="I277" s="38"/>
      <c r="J277" s="38"/>
      <c r="K277" s="38"/>
      <c r="L277" s="40" t="str">
        <f aca="false">IF($A277="","",IF(LEN(IF($F277="","título, ","")&amp;IF($D277="","veículo, ","")&amp;IF($I277="","tom, ","")&amp;IF($J277="","link, ","")&amp;IF($G277="","alcance, ",""))=0,"OK","Falta "&amp;LEFT(IF($F277="","título, ","")&amp;IF($D277="","veículo, ","")&amp;IF($I277="","tom, ","")&amp;IF($J277="","link, ","")&amp;IF($G277="","alcance, ",""),LEN(IF($F277="","título, ","")&amp;IF($D277="","veículo, ","")&amp;IF($I277="","tom, ","")&amp;IF($J277="","link, ","")&amp;IF($G277="","alcance, ",""))-2)))</f>
        <v/>
      </c>
      <c r="M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8"/>
      <c r="G278" s="42"/>
      <c r="H278" s="42"/>
      <c r="I278" s="38"/>
      <c r="J278" s="38"/>
      <c r="K278" s="38"/>
      <c r="L278" s="40" t="str">
        <f aca="false">IF($A278="","",IF(LEN(IF($F278="","título, ","")&amp;IF($D278="","veículo, ","")&amp;IF($I278="","tom, ","")&amp;IF($J278="","link, ","")&amp;IF($G278="","alcance, ",""))=0,"OK","Falta "&amp;LEFT(IF($F278="","título, ","")&amp;IF($D278="","veículo, ","")&amp;IF($I278="","tom, ","")&amp;IF($J278="","link, ","")&amp;IF($G278="","alcance, ",""),LEN(IF($F278="","título, ","")&amp;IF($D278="","veículo, ","")&amp;IF($I278="","tom, ","")&amp;IF($J278="","link, ","")&amp;IF($G278="","alcance, ",""))-2)))</f>
        <v/>
      </c>
      <c r="M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8"/>
      <c r="G279" s="42"/>
      <c r="H279" s="42"/>
      <c r="I279" s="38"/>
      <c r="J279" s="38"/>
      <c r="K279" s="38"/>
      <c r="L279" s="40" t="str">
        <f aca="false">IF($A279="","",IF(LEN(IF($F279="","título, ","")&amp;IF($D279="","veículo, ","")&amp;IF($I279="","tom, ","")&amp;IF($J279="","link, ","")&amp;IF($G279="","alcance, ",""))=0,"OK","Falta "&amp;LEFT(IF($F279="","título, ","")&amp;IF($D279="","veículo, ","")&amp;IF($I279="","tom, ","")&amp;IF($J279="","link, ","")&amp;IF($G279="","alcance, ",""),LEN(IF($F279="","título, ","")&amp;IF($D279="","veículo, ","")&amp;IF($I279="","tom, ","")&amp;IF($J279="","link, ","")&amp;IF($G279="","alcance, ",""))-2)))</f>
        <v/>
      </c>
      <c r="M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8"/>
      <c r="G280" s="42"/>
      <c r="H280" s="42"/>
      <c r="I280" s="38"/>
      <c r="J280" s="38"/>
      <c r="K280" s="38"/>
      <c r="L280" s="40" t="str">
        <f aca="false">IF($A280="","",IF(LEN(IF($F280="","título, ","")&amp;IF($D280="","veículo, ","")&amp;IF($I280="","tom, ","")&amp;IF($J280="","link, ","")&amp;IF($G280="","alcance, ",""))=0,"OK","Falta "&amp;LEFT(IF($F280="","título, ","")&amp;IF($D280="","veículo, ","")&amp;IF($I280="","tom, ","")&amp;IF($J280="","link, ","")&amp;IF($G280="","alcance, ",""),LEN(IF($F280="","título, ","")&amp;IF($D280="","veículo, ","")&amp;IF($I280="","tom, ","")&amp;IF($J280="","link, ","")&amp;IF($G280="","alcance, ",""))-2)))</f>
        <v/>
      </c>
      <c r="M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8"/>
      <c r="G281" s="42"/>
      <c r="H281" s="42"/>
      <c r="I281" s="38"/>
      <c r="J281" s="38"/>
      <c r="K281" s="38"/>
      <c r="L281" s="40" t="str">
        <f aca="false">IF($A281="","",IF(LEN(IF($F281="","título, ","")&amp;IF($D281="","veículo, ","")&amp;IF($I281="","tom, ","")&amp;IF($J281="","link, ","")&amp;IF($G281="","alcance, ",""))=0,"OK","Falta "&amp;LEFT(IF($F281="","título, ","")&amp;IF($D281="","veículo, ","")&amp;IF($I281="","tom, ","")&amp;IF($J281="","link, ","")&amp;IF($G281="","alcance, ",""),LEN(IF($F281="","título, ","")&amp;IF($D281="","veículo, ","")&amp;IF($I281="","tom, ","")&amp;IF($J281="","link, ","")&amp;IF($G281="","alcance, ",""))-2)))</f>
        <v/>
      </c>
      <c r="M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8"/>
      <c r="G282" s="42"/>
      <c r="H282" s="42"/>
      <c r="I282" s="38"/>
      <c r="J282" s="38"/>
      <c r="K282" s="38"/>
      <c r="L282" s="40" t="str">
        <f aca="false">IF($A282="","",IF(LEN(IF($F282="","título, ","")&amp;IF($D282="","veículo, ","")&amp;IF($I282="","tom, ","")&amp;IF($J282="","link, ","")&amp;IF($G282="","alcance, ",""))=0,"OK","Falta "&amp;LEFT(IF($F282="","título, ","")&amp;IF($D282="","veículo, ","")&amp;IF($I282="","tom, ","")&amp;IF($J282="","link, ","")&amp;IF($G282="","alcance, ",""),LEN(IF($F282="","título, ","")&amp;IF($D282="","veículo, ","")&amp;IF($I282="","tom, ","")&amp;IF($J282="","link, ","")&amp;IF($G282="","alcance, ",""))-2)))</f>
        <v/>
      </c>
      <c r="M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8"/>
      <c r="G283" s="42"/>
      <c r="H283" s="42"/>
      <c r="I283" s="38"/>
      <c r="J283" s="38"/>
      <c r="K283" s="38"/>
      <c r="L283" s="40" t="str">
        <f aca="false">IF($A283="","",IF(LEN(IF($F283="","título, ","")&amp;IF($D283="","veículo, ","")&amp;IF($I283="","tom, ","")&amp;IF($J283="","link, ","")&amp;IF($G283="","alcance, ",""))=0,"OK","Falta "&amp;LEFT(IF($F283="","título, ","")&amp;IF($D283="","veículo, ","")&amp;IF($I283="","tom, ","")&amp;IF($J283="","link, ","")&amp;IF($G283="","alcance, ",""),LEN(IF($F283="","título, ","")&amp;IF($D283="","veículo, ","")&amp;IF($I283="","tom, ","")&amp;IF($J283="","link, ","")&amp;IF($G283="","alcance, ",""))-2)))</f>
        <v/>
      </c>
      <c r="M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8"/>
      <c r="G284" s="42"/>
      <c r="H284" s="42"/>
      <c r="I284" s="38"/>
      <c r="J284" s="38"/>
      <c r="K284" s="38"/>
      <c r="L284" s="40" t="str">
        <f aca="false">IF($A284="","",IF(LEN(IF($F284="","título, ","")&amp;IF($D284="","veículo, ","")&amp;IF($I284="","tom, ","")&amp;IF($J284="","link, ","")&amp;IF($G284="","alcance, ",""))=0,"OK","Falta "&amp;LEFT(IF($F284="","título, ","")&amp;IF($D284="","veículo, ","")&amp;IF($I284="","tom, ","")&amp;IF($J284="","link, ","")&amp;IF($G284="","alcance, ",""),LEN(IF($F284="","título, ","")&amp;IF($D284="","veículo, ","")&amp;IF($I284="","tom, ","")&amp;IF($J284="","link, ","")&amp;IF($G284="","alcance, ",""))-2)))</f>
        <v/>
      </c>
      <c r="M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8"/>
      <c r="G285" s="42"/>
      <c r="H285" s="42"/>
      <c r="I285" s="38"/>
      <c r="J285" s="38"/>
      <c r="K285" s="38"/>
      <c r="L285" s="40" t="str">
        <f aca="false">IF($A285="","",IF(LEN(IF($F285="","título, ","")&amp;IF($D285="","veículo, ","")&amp;IF($I285="","tom, ","")&amp;IF($J285="","link, ","")&amp;IF($G285="","alcance, ",""))=0,"OK","Falta "&amp;LEFT(IF($F285="","título, ","")&amp;IF($D285="","veículo, ","")&amp;IF($I285="","tom, ","")&amp;IF($J285="","link, ","")&amp;IF($G285="","alcance, ",""),LEN(IF($F285="","título, ","")&amp;IF($D285="","veículo, ","")&amp;IF($I285="","tom, ","")&amp;IF($J285="","link, ","")&amp;IF($G285="","alcance, ",""))-2)))</f>
        <v/>
      </c>
      <c r="M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8"/>
      <c r="G286" s="42"/>
      <c r="H286" s="42"/>
      <c r="I286" s="38"/>
      <c r="J286" s="38"/>
      <c r="K286" s="38"/>
      <c r="L286" s="40" t="str">
        <f aca="false">IF($A286="","",IF(LEN(IF($F286="","título, ","")&amp;IF($D286="","veículo, ","")&amp;IF($I286="","tom, ","")&amp;IF($J286="","link, ","")&amp;IF($G286="","alcance, ",""))=0,"OK","Falta "&amp;LEFT(IF($F286="","título, ","")&amp;IF($D286="","veículo, ","")&amp;IF($I286="","tom, ","")&amp;IF($J286="","link, ","")&amp;IF($G286="","alcance, ",""),LEN(IF($F286="","título, ","")&amp;IF($D286="","veículo, ","")&amp;IF($I286="","tom, ","")&amp;IF($J286="","link, ","")&amp;IF($G286="","alcance, ",""))-2)))</f>
        <v/>
      </c>
      <c r="M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8"/>
      <c r="G287" s="42"/>
      <c r="H287" s="42"/>
      <c r="I287" s="38"/>
      <c r="J287" s="38"/>
      <c r="K287" s="38"/>
      <c r="L287" s="40" t="str">
        <f aca="false">IF($A287="","",IF(LEN(IF($F287="","título, ","")&amp;IF($D287="","veículo, ","")&amp;IF($I287="","tom, ","")&amp;IF($J287="","link, ","")&amp;IF($G287="","alcance, ",""))=0,"OK","Falta "&amp;LEFT(IF($F287="","título, ","")&amp;IF($D287="","veículo, ","")&amp;IF($I287="","tom, ","")&amp;IF($J287="","link, ","")&amp;IF($G287="","alcance, ",""),LEN(IF($F287="","título, ","")&amp;IF($D287="","veículo, ","")&amp;IF($I287="","tom, ","")&amp;IF($J287="","link, ","")&amp;IF($G287="","alcance, ",""))-2)))</f>
        <v/>
      </c>
      <c r="M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8"/>
      <c r="G288" s="42"/>
      <c r="H288" s="42"/>
      <c r="I288" s="38"/>
      <c r="J288" s="38"/>
      <c r="K288" s="38"/>
      <c r="L288" s="40" t="str">
        <f aca="false">IF($A288="","",IF(LEN(IF($F288="","título, ","")&amp;IF($D288="","veículo, ","")&amp;IF($I288="","tom, ","")&amp;IF($J288="","link, ","")&amp;IF($G288="","alcance, ",""))=0,"OK","Falta "&amp;LEFT(IF($F288="","título, ","")&amp;IF($D288="","veículo, ","")&amp;IF($I288="","tom, ","")&amp;IF($J288="","link, ","")&amp;IF($G288="","alcance, ",""),LEN(IF($F288="","título, ","")&amp;IF($D288="","veículo, ","")&amp;IF($I288="","tom, ","")&amp;IF($J288="","link, ","")&amp;IF($G288="","alcance, ",""))-2)))</f>
        <v/>
      </c>
      <c r="M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8"/>
      <c r="G289" s="42"/>
      <c r="H289" s="42"/>
      <c r="I289" s="38"/>
      <c r="J289" s="38"/>
      <c r="K289" s="38"/>
      <c r="L289" s="40" t="str">
        <f aca="false">IF($A289="","",IF(LEN(IF($F289="","título, ","")&amp;IF($D289="","veículo, ","")&amp;IF($I289="","tom, ","")&amp;IF($J289="","link, ","")&amp;IF($G289="","alcance, ",""))=0,"OK","Falta "&amp;LEFT(IF($F289="","título, ","")&amp;IF($D289="","veículo, ","")&amp;IF($I289="","tom, ","")&amp;IF($J289="","link, ","")&amp;IF($G289="","alcance, ",""),LEN(IF($F289="","título, ","")&amp;IF($D289="","veículo, ","")&amp;IF($I289="","tom, ","")&amp;IF($J289="","link, ","")&amp;IF($G289="","alcance, ",""))-2)))</f>
        <v/>
      </c>
      <c r="M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8"/>
      <c r="G290" s="42"/>
      <c r="H290" s="42"/>
      <c r="I290" s="38"/>
      <c r="J290" s="38"/>
      <c r="K290" s="38"/>
      <c r="L290" s="40" t="str">
        <f aca="false">IF($A290="","",IF(LEN(IF($F290="","título, ","")&amp;IF($D290="","veículo, ","")&amp;IF($I290="","tom, ","")&amp;IF($J290="","link, ","")&amp;IF($G290="","alcance, ",""))=0,"OK","Falta "&amp;LEFT(IF($F290="","título, ","")&amp;IF($D290="","veículo, ","")&amp;IF($I290="","tom, ","")&amp;IF($J290="","link, ","")&amp;IF($G290="","alcance, ",""),LEN(IF($F290="","título, ","")&amp;IF($D290="","veículo, ","")&amp;IF($I290="","tom, ","")&amp;IF($J290="","link, ","")&amp;IF($G290="","alcance, ",""))-2)))</f>
        <v/>
      </c>
      <c r="M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8"/>
      <c r="G291" s="42"/>
      <c r="H291" s="42"/>
      <c r="I291" s="38"/>
      <c r="J291" s="38"/>
      <c r="K291" s="38"/>
      <c r="L291" s="40" t="str">
        <f aca="false">IF($A291="","",IF(LEN(IF($F291="","título, ","")&amp;IF($D291="","veículo, ","")&amp;IF($I291="","tom, ","")&amp;IF($J291="","link, ","")&amp;IF($G291="","alcance, ",""))=0,"OK","Falta "&amp;LEFT(IF($F291="","título, ","")&amp;IF($D291="","veículo, ","")&amp;IF($I291="","tom, ","")&amp;IF($J291="","link, ","")&amp;IF($G291="","alcance, ",""),LEN(IF($F291="","título, ","")&amp;IF($D291="","veículo, ","")&amp;IF($I291="","tom, ","")&amp;IF($J291="","link, ","")&amp;IF($G291="","alcance, ",""))-2)))</f>
        <v/>
      </c>
      <c r="M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8"/>
      <c r="G292" s="42"/>
      <c r="H292" s="42"/>
      <c r="I292" s="38"/>
      <c r="J292" s="38"/>
      <c r="K292" s="38"/>
      <c r="L292" s="40" t="str">
        <f aca="false">IF($A292="","",IF(LEN(IF($F292="","título, ","")&amp;IF($D292="","veículo, ","")&amp;IF($I292="","tom, ","")&amp;IF($J292="","link, ","")&amp;IF($G292="","alcance, ",""))=0,"OK","Falta "&amp;LEFT(IF($F292="","título, ","")&amp;IF($D292="","veículo, ","")&amp;IF($I292="","tom, ","")&amp;IF($J292="","link, ","")&amp;IF($G292="","alcance, ",""),LEN(IF($F292="","título, ","")&amp;IF($D292="","veículo, ","")&amp;IF($I292="","tom, ","")&amp;IF($J292="","link, ","")&amp;IF($G292="","alcance, ",""))-2)))</f>
        <v/>
      </c>
      <c r="M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8"/>
      <c r="G293" s="42"/>
      <c r="H293" s="42"/>
      <c r="I293" s="38"/>
      <c r="J293" s="38"/>
      <c r="K293" s="38"/>
      <c r="L293" s="40" t="str">
        <f aca="false">IF($A293="","",IF(LEN(IF($F293="","título, ","")&amp;IF($D293="","veículo, ","")&amp;IF($I293="","tom, ","")&amp;IF($J293="","link, ","")&amp;IF($G293="","alcance, ",""))=0,"OK","Falta "&amp;LEFT(IF($F293="","título, ","")&amp;IF($D293="","veículo, ","")&amp;IF($I293="","tom, ","")&amp;IF($J293="","link, ","")&amp;IF($G293="","alcance, ",""),LEN(IF($F293="","título, ","")&amp;IF($D293="","veículo, ","")&amp;IF($I293="","tom, ","")&amp;IF($J293="","link, ","")&amp;IF($G293="","alcance, ",""))-2)))</f>
        <v/>
      </c>
      <c r="M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8"/>
      <c r="G294" s="42"/>
      <c r="H294" s="42"/>
      <c r="I294" s="38"/>
      <c r="J294" s="38"/>
      <c r="K294" s="38"/>
      <c r="L294" s="40" t="str">
        <f aca="false">IF($A294="","",IF(LEN(IF($F294="","título, ","")&amp;IF($D294="","veículo, ","")&amp;IF($I294="","tom, ","")&amp;IF($J294="","link, ","")&amp;IF($G294="","alcance, ",""))=0,"OK","Falta "&amp;LEFT(IF($F294="","título, ","")&amp;IF($D294="","veículo, ","")&amp;IF($I294="","tom, ","")&amp;IF($J294="","link, ","")&amp;IF($G294="","alcance, ",""),LEN(IF($F294="","título, ","")&amp;IF($D294="","veículo, ","")&amp;IF($I294="","tom, ","")&amp;IF($J294="","link, ","")&amp;IF($G294="","alcance, ",""))-2)))</f>
        <v/>
      </c>
      <c r="M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8"/>
      <c r="G295" s="42"/>
      <c r="H295" s="42"/>
      <c r="I295" s="38"/>
      <c r="J295" s="38"/>
      <c r="K295" s="38"/>
      <c r="L295" s="40" t="str">
        <f aca="false">IF($A295="","",IF(LEN(IF($F295="","título, ","")&amp;IF($D295="","veículo, ","")&amp;IF($I295="","tom, ","")&amp;IF($J295="","link, ","")&amp;IF($G295="","alcance, ",""))=0,"OK","Falta "&amp;LEFT(IF($F295="","título, ","")&amp;IF($D295="","veículo, ","")&amp;IF($I295="","tom, ","")&amp;IF($J295="","link, ","")&amp;IF($G295="","alcance, ",""),LEN(IF($F295="","título, ","")&amp;IF($D295="","veículo, ","")&amp;IF($I295="","tom, ","")&amp;IF($J295="","link, ","")&amp;IF($G295="","alcance, ",""))-2)))</f>
        <v/>
      </c>
      <c r="M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8"/>
      <c r="G296" s="42"/>
      <c r="H296" s="42"/>
      <c r="I296" s="38"/>
      <c r="J296" s="38"/>
      <c r="K296" s="38"/>
      <c r="L296" s="40" t="str">
        <f aca="false">IF($A296="","",IF(LEN(IF($F296="","título, ","")&amp;IF($D296="","veículo, ","")&amp;IF($I296="","tom, ","")&amp;IF($J296="","link, ","")&amp;IF($G296="","alcance, ",""))=0,"OK","Falta "&amp;LEFT(IF($F296="","título, ","")&amp;IF($D296="","veículo, ","")&amp;IF($I296="","tom, ","")&amp;IF($J296="","link, ","")&amp;IF($G296="","alcance, ",""),LEN(IF($F296="","título, ","")&amp;IF($D296="","veículo, ","")&amp;IF($I296="","tom, ","")&amp;IF($J296="","link, ","")&amp;IF($G296="","alcance, ",""))-2)))</f>
        <v/>
      </c>
      <c r="M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8"/>
      <c r="G297" s="42"/>
      <c r="H297" s="42"/>
      <c r="I297" s="38"/>
      <c r="J297" s="38"/>
      <c r="K297" s="38"/>
      <c r="L297" s="40" t="str">
        <f aca="false">IF($A297="","",IF(LEN(IF($F297="","título, ","")&amp;IF($D297="","veículo, ","")&amp;IF($I297="","tom, ","")&amp;IF($J297="","link, ","")&amp;IF($G297="","alcance, ",""))=0,"OK","Falta "&amp;LEFT(IF($F297="","título, ","")&amp;IF($D297="","veículo, ","")&amp;IF($I297="","tom, ","")&amp;IF($J297="","link, ","")&amp;IF($G297="","alcance, ",""),LEN(IF($F297="","título, ","")&amp;IF($D297="","veículo, ","")&amp;IF($I297="","tom, ","")&amp;IF($J297="","link, ","")&amp;IF($G297="","alcance, ",""))-2)))</f>
        <v/>
      </c>
      <c r="M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8"/>
      <c r="G298" s="42"/>
      <c r="H298" s="42"/>
      <c r="I298" s="38"/>
      <c r="J298" s="38"/>
      <c r="K298" s="38"/>
      <c r="L298" s="40" t="str">
        <f aca="false">IF($A298="","",IF(LEN(IF($F298="","título, ","")&amp;IF($D298="","veículo, ","")&amp;IF($I298="","tom, ","")&amp;IF($J298="","link, ","")&amp;IF($G298="","alcance, ",""))=0,"OK","Falta "&amp;LEFT(IF($F298="","título, ","")&amp;IF($D298="","veículo, ","")&amp;IF($I298="","tom, ","")&amp;IF($J298="","link, ","")&amp;IF($G298="","alcance, ",""),LEN(IF($F298="","título, ","")&amp;IF($D298="","veículo, ","")&amp;IF($I298="","tom, ","")&amp;IF($J298="","link, ","")&amp;IF($G298="","alcance, ",""))-2)))</f>
        <v/>
      </c>
      <c r="M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8"/>
      <c r="G299" s="42"/>
      <c r="H299" s="42"/>
      <c r="I299" s="38"/>
      <c r="J299" s="38"/>
      <c r="K299" s="38"/>
      <c r="L299" s="40" t="str">
        <f aca="false">IF($A299="","",IF(LEN(IF($F299="","título, ","")&amp;IF($D299="","veículo, ","")&amp;IF($I299="","tom, ","")&amp;IF($J299="","link, ","")&amp;IF($G299="","alcance, ",""))=0,"OK","Falta "&amp;LEFT(IF($F299="","título, ","")&amp;IF($D299="","veículo, ","")&amp;IF($I299="","tom, ","")&amp;IF($J299="","link, ","")&amp;IF($G299="","alcance, ",""),LEN(IF($F299="","título, ","")&amp;IF($D299="","veículo, ","")&amp;IF($I299="","tom, ","")&amp;IF($J299="","link, ","")&amp;IF($G299="","alcance, ",""))-2)))</f>
        <v/>
      </c>
      <c r="M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8"/>
      <c r="G300" s="42"/>
      <c r="H300" s="42"/>
      <c r="I300" s="38"/>
      <c r="J300" s="38"/>
      <c r="K300" s="38"/>
      <c r="L300" s="40" t="str">
        <f aca="false">IF($A300="","",IF(LEN(IF($F300="","título, ","")&amp;IF($D300="","veículo, ","")&amp;IF($I300="","tom, ","")&amp;IF($J300="","link, ","")&amp;IF($G300="","alcance, ",""))=0,"OK","Falta "&amp;LEFT(IF($F300="","título, ","")&amp;IF($D300="","veículo, ","")&amp;IF($I300="","tom, ","")&amp;IF($J300="","link, ","")&amp;IF($G300="","alcance, ",""),LEN(IF($F300="","título, ","")&amp;IF($D300="","veículo, ","")&amp;IF($I300="","tom, ","")&amp;IF($J300="","link, ","")&amp;IF($G300="","alcance, ",""))-2)))</f>
        <v/>
      </c>
      <c r="M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8"/>
      <c r="G301" s="42"/>
      <c r="H301" s="42"/>
      <c r="I301" s="38"/>
      <c r="J301" s="38"/>
      <c r="K301" s="38"/>
      <c r="L301" s="40" t="str">
        <f aca="false">IF($A301="","",IF(LEN(IF($F301="","título, ","")&amp;IF($D301="","veículo, ","")&amp;IF($I301="","tom, ","")&amp;IF($J301="","link, ","")&amp;IF($G301="","alcance, ",""))=0,"OK","Falta "&amp;LEFT(IF($F301="","título, ","")&amp;IF($D301="","veículo, ","")&amp;IF($I301="","tom, ","")&amp;IF($J301="","link, ","")&amp;IF($G301="","alcance, ",""),LEN(IF($F301="","título, ","")&amp;IF($D301="","veículo, ","")&amp;IF($I301="","tom, ","")&amp;IF($J301="","link, ","")&amp;IF($G301="","alcance, ",""))-2)))</f>
        <v/>
      </c>
      <c r="M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8"/>
      <c r="G302" s="42"/>
      <c r="H302" s="42"/>
      <c r="I302" s="38"/>
      <c r="J302" s="38"/>
      <c r="K302" s="38"/>
      <c r="L302" s="40" t="str">
        <f aca="false">IF($A302="","",IF(LEN(IF($F302="","título, ","")&amp;IF($D302="","veículo, ","")&amp;IF($I302="","tom, ","")&amp;IF($J302="","link, ","")&amp;IF($G302="","alcance, ",""))=0,"OK","Falta "&amp;LEFT(IF($F302="","título, ","")&amp;IF($D302="","veículo, ","")&amp;IF($I302="","tom, ","")&amp;IF($J302="","link, ","")&amp;IF($G302="","alcance, ",""),LEN(IF($F302="","título, ","")&amp;IF($D302="","veículo, ","")&amp;IF($I302="","tom, ","")&amp;IF($J302="","link, ","")&amp;IF($G302="","alcance, ",""))-2)))</f>
        <v/>
      </c>
      <c r="M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8"/>
      <c r="G303" s="42"/>
      <c r="H303" s="42"/>
      <c r="I303" s="38"/>
      <c r="J303" s="38"/>
      <c r="K303" s="38"/>
      <c r="L303" s="40" t="str">
        <f aca="false">IF($A303="","",IF(LEN(IF($F303="","título, ","")&amp;IF($D303="","veículo, ","")&amp;IF($I303="","tom, ","")&amp;IF($J303="","link, ","")&amp;IF($G303="","alcance, ",""))=0,"OK","Falta "&amp;LEFT(IF($F303="","título, ","")&amp;IF($D303="","veículo, ","")&amp;IF($I303="","tom, ","")&amp;IF($J303="","link, ","")&amp;IF($G303="","alcance, ",""),LEN(IF($F303="","título, ","")&amp;IF($D303="","veículo, ","")&amp;IF($I303="","tom, ","")&amp;IF($J303="","link, ","")&amp;IF($G303="","alcance, ",""))-2)))</f>
        <v/>
      </c>
      <c r="M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8"/>
      <c r="G304" s="42"/>
      <c r="H304" s="42"/>
      <c r="I304" s="38"/>
      <c r="J304" s="38"/>
      <c r="K304" s="38"/>
      <c r="L304" s="40" t="str">
        <f aca="false">IF($A304="","",IF(LEN(IF($F304="","título, ","")&amp;IF($D304="","veículo, ","")&amp;IF($I304="","tom, ","")&amp;IF($J304="","link, ","")&amp;IF($G304="","alcance, ",""))=0,"OK","Falta "&amp;LEFT(IF($F304="","título, ","")&amp;IF($D304="","veículo, ","")&amp;IF($I304="","tom, ","")&amp;IF($J304="","link, ","")&amp;IF($G304="","alcance, ",""),LEN(IF($F304="","título, ","")&amp;IF($D304="","veículo, ","")&amp;IF($I304="","tom, ","")&amp;IF($J304="","link, ","")&amp;IF($G304="","alcance, ",""))-2)))</f>
        <v/>
      </c>
      <c r="M304" s="38"/>
    </row>
  </sheetData>
  <autoFilter ref="A4:M304"/>
  <conditionalFormatting sqref="I5:I304">
    <cfRule type="expression" priority="2" aboveAverage="0" equalAverage="0" bottom="0" percent="0" rank="0" text="" dxfId="11">
      <formula>$I5="Positiva"</formula>
    </cfRule>
    <cfRule type="expression" priority="3" aboveAverage="0" equalAverage="0" bottom="0" percent="0" rank="0" text="" dxfId="0">
      <formula>$I5="Negativa"</formula>
    </cfRule>
  </conditionalFormatting>
  <conditionalFormatting sqref="L5:L304">
    <cfRule type="expression" priority="4" aboveAverage="0" equalAverage="0" bottom="0" percent="0" rank="0" text="" dxfId="11">
      <formula>$L5="OK"</formula>
    </cfRule>
    <cfRule type="expression" priority="5" aboveAverage="0" equalAverage="0" bottom="0" percent="0" rank="0" text="" dxfId="12">
      <formula>LEFT($L5,5)="Falta"</formula>
    </cfRule>
  </conditionalFormatting>
  <dataValidations count="6">
    <dataValidation allowBlank="true" errorStyle="stop" operator="between" prompt="Squad" promptTitle="Escolha ou digite" showDropDown="false" showErrorMessage="false" showInputMessage="false" sqref="B5:B304" type="list">
      <formula1>OFFSET(Listas!$A$5,0,0,MAX(1,COUNTA(Listas!$A$5:$A$64)),1)</formula1>
      <formula2>0</formula2>
    </dataValidation>
    <dataValidation allowBlank="true" errorStyle="stop" operator="between" prompt="Veículo" promptTitle="Escolha ou digite" showDropDown="false" showErrorMessage="false" showInputMessage="false" sqref="D5:D304" type="list">
      <formula1>OFFSET(Listas!$L$5,0,0,MAX(1,COUNTA(Listas!$L$5:$L$64)),1)</formula1>
      <formula2>0</formula2>
    </dataValidation>
    <dataValidation allowBlank="true" errorStyle="stop" operator="between" prompt="Tipo" promptTitle="Escolha ou digite" showDropDown="false" showErrorMessage="false" showInputMessage="false" sqref="E5:E304" type="list">
      <formula1>OFFSET(Listas!$M$5,0,0,MAX(1,COUNTA(Listas!$M$5:$M$64)),1)</formula1>
      <formula2>0</formula2>
    </dataValidation>
    <dataValidation allowBlank="true" errorStyle="stop" operator="between" prompt="Tom" promptTitle="Escolha ou digite" showDropDown="false" showErrorMessage="false" showInputMessage="false" sqref="I5:I304" type="list">
      <formula1>OFFSET(Listas!$N$5,0,0,MAX(1,COUNTA(Listas!$N$5:$N$64)),1)</formula1>
      <formula2>0</formula2>
    </dataValidation>
    <dataValidation allowBlank="true" errorStyle="stop" operator="between" prompt="Quem registrou" promptTitle="Escolha ou digite" showDropDown="false" showErrorMessage="false" showInputMessage="false" sqref="K5:K304" type="list">
      <formula1>OFFSET(Listas!$B$5,0,0,MAX(1,COUNTA(Listas!$B$5:$B$64)),1)</formula1>
      <formula2>0</formula2>
    </dataValidation>
    <dataValidation allowBlank="true" errorStyle="stop" operator="between" prompt="Ação que gerou" promptTitle="Escolha ou digite" showDropDown="false" showErrorMessage="false" showInputMessage="false" sqref="C5:C304" type="list">
      <formula1>Ações!$J$5:$J$404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3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2" min="12" style="0" width="32"/>
    <col collapsed="false" customWidth="true" hidden="false" outlineLevel="0" max="13" min="13" style="0" width="12"/>
    <col collapsed="false" customWidth="true" hidden="false" outlineLevel="0" max="15" min="15" style="0" width="24"/>
    <col collapsed="false" customWidth="true" hidden="false" outlineLevel="0" max="16" min="16" style="0" width="12"/>
    <col collapsed="false" customWidth="true" hidden="false" outlineLevel="0" max="19" min="18" style="0" width="16"/>
  </cols>
  <sheetData>
    <row r="1" customFormat="false" ht="25.5" hidden="false" customHeight="true" outlineLevel="0" collapsed="false">
      <c r="A1" s="1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3.5" hidden="false" customHeight="true" outlineLevel="0" collapsed="false">
      <c r="A2" s="3" t="s">
        <v>189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customFormat="false" ht="30" hidden="false" customHeight="true" outlineLevel="0" collapsed="false">
      <c r="A4" s="26" t="s">
        <v>181</v>
      </c>
      <c r="B4" s="26" t="s">
        <v>190</v>
      </c>
      <c r="C4" s="26" t="s">
        <v>22</v>
      </c>
      <c r="D4" s="26" t="s">
        <v>191</v>
      </c>
      <c r="E4" s="26" t="s">
        <v>39</v>
      </c>
      <c r="F4" s="26" t="s">
        <v>12</v>
      </c>
      <c r="G4" s="26" t="s">
        <v>192</v>
      </c>
      <c r="I4" s="43" t="s">
        <v>193</v>
      </c>
      <c r="J4" s="43" t="s">
        <v>22</v>
      </c>
      <c r="L4" s="43" t="s">
        <v>194</v>
      </c>
      <c r="M4" s="43" t="s">
        <v>22</v>
      </c>
      <c r="O4" s="43" t="s">
        <v>195</v>
      </c>
      <c r="P4" s="43" t="s">
        <v>19</v>
      </c>
      <c r="R4" s="43" t="s">
        <v>196</v>
      </c>
      <c r="S4" s="43" t="s">
        <v>9</v>
      </c>
    </row>
    <row r="5" customFormat="false" ht="15" hidden="false" customHeight="false" outlineLevel="0" collapsed="false">
      <c r="A5" s="44" t="n">
        <f aca="true">TODAY()-44</f>
        <v>46236</v>
      </c>
      <c r="B5" s="45" t="str">
        <f aca="false">TEXT($A5,"ddd")</f>
        <v>Sun</v>
      </c>
      <c r="C5" s="46" t="n">
        <f aca="false">COUNTIFS(Ações!$N$6:$N$404,$A5,Ações!$O$6:$O$404,"Sim")</f>
        <v>0</v>
      </c>
      <c r="D5" s="45" t="n">
        <f aca="false">COUNTIF(Ações!$A$6:$A$404,$A5)</f>
        <v>0</v>
      </c>
      <c r="E5" s="45" t="n">
        <f aca="false">COUNTIF(Repercussão!$A$6:$A$304,$A5)</f>
        <v>0</v>
      </c>
      <c r="F5" s="45" t="n">
        <f aca="false">Painel!$C$6</f>
        <v>60</v>
      </c>
      <c r="G5" s="45" t="str">
        <f aca="false">IF($C5&gt;=$F5,"Sim","Não")</f>
        <v>Não</v>
      </c>
      <c r="I5" s="31" t="str">
        <f aca="false">Listas!A5</f>
        <v>Litoral</v>
      </c>
      <c r="J5" s="47" t="n">
        <f aca="false">COUNTIFS(Ações!$B$6:$B$404,$I5,Ações!$N$6:$N$404,"&gt;="&amp;$R$5,Ações!$N$6:$N$404,"&lt;="&amp;$S$5,Ações!$O$6:$O$404,"Sim")</f>
        <v>0</v>
      </c>
      <c r="L5" s="31" t="str">
        <f aca="false">Listas!B5</f>
        <v>Luiz Fernando de Sousa Gonzaga</v>
      </c>
      <c r="M5" s="47" t="n">
        <f aca="false">COUNTIFS(Ações!$C$6:$C$404,$L5,Ações!$N$6:$N$404,"&gt;="&amp;$R$5,Ações!$N$6:$N$404,"&lt;="&amp;$S$5,Ações!$O$6:$O$404,"Sim")</f>
        <v>0</v>
      </c>
      <c r="O5" s="31" t="str">
        <f aca="false">Listas!F5</f>
        <v>Equipe interna</v>
      </c>
      <c r="P5" s="47" t="n">
        <f aca="false">COUNTIFS(Ações!$E$6:$E$404,$O5,Ações!$A$6:$A$404,"&gt;="&amp;$R$5,Ações!$A$6:$A$404,"&lt;="&amp;$S$5)</f>
        <v>0</v>
      </c>
      <c r="R5" s="48" t="n">
        <f aca="true">IF(Painel!$B$7="Hoje",TODAY(),IF(Painel!$B$7="Ontem",TODAY()-1,IF(Painel!$B$7="Últimos 7 dias",TODAY()-6,IF(Painel!$B$7="Últimos 30 dias",TODAY()-29,IF(Painel!$B$7="Este mês",DATE(YEAR(TODAY()),MONTH(TODAY()),1),IF(Painel!$B$7="Mês passado",DATE(YEAR(TODAY()),MONTH(TODAY())-1,1),IF(Painel!$B$7="Escolher datas",IF(Painel!$D$7="",DATE(2020,1,1),Painel!$D$7),DATE(2020,1,1))))))))</f>
        <v>46251</v>
      </c>
      <c r="S5" s="48" t="n">
        <f aca="true">IF(Painel!$B$7="Ontem",TODAY()-1,IF(Painel!$B$7="Mês passado",DATE(YEAR(TODAY()),MONTH(TODAY()),1)-1,IF(Painel!$B$7="Este mês",DATE(YEAR(TODAY()),MONTH(TODAY())+1,1)-1,IF(Painel!$B$7="Escolher datas",IF(Painel!$F$7="",DATE(2099,12,31),Painel!$F$7),IF(Painel!$B$7="Tudo",DATE(2099,12,31),TODAY())))))</f>
        <v>46280</v>
      </c>
    </row>
    <row r="6" customFormat="false" ht="15" hidden="false" customHeight="false" outlineLevel="0" collapsed="false">
      <c r="A6" s="44" t="n">
        <f aca="true">TODAY()-43</f>
        <v>46237</v>
      </c>
      <c r="B6" s="45" t="str">
        <f aca="false">TEXT($A6,"ddd")</f>
        <v>Mon</v>
      </c>
      <c r="C6" s="46" t="n">
        <f aca="false">COUNTIFS(Ações!$N$6:$N$404,$A6,Ações!$O$6:$O$404,"Sim")</f>
        <v>0</v>
      </c>
      <c r="D6" s="45" t="n">
        <f aca="false">COUNTIF(Ações!$A$6:$A$404,$A6)</f>
        <v>0</v>
      </c>
      <c r="E6" s="45" t="n">
        <f aca="false">COUNTIF(Repercussão!$A$6:$A$304,$A6)</f>
        <v>0</v>
      </c>
      <c r="F6" s="45" t="n">
        <f aca="false">Painel!$C$6</f>
        <v>60</v>
      </c>
      <c r="G6" s="45" t="str">
        <f aca="false">IF($C6&gt;=$F6,"Sim","Não")</f>
        <v>Não</v>
      </c>
      <c r="I6" s="31" t="str">
        <f aca="false">Listas!A6</f>
        <v>Meio Norte</v>
      </c>
      <c r="J6" s="47" t="n">
        <f aca="false">COUNTIFS(Ações!$B$6:$B$404,$I6,Ações!$N$6:$N$404,"&gt;="&amp;$R$5,Ações!$N$6:$N$404,"&lt;="&amp;$S$5,Ações!$O$6:$O$404,"Sim")</f>
        <v>0</v>
      </c>
      <c r="L6" s="31" t="str">
        <f aca="false">Listas!B6</f>
        <v>Bruno (SA Propaganda)</v>
      </c>
      <c r="M6" s="47" t="n">
        <f aca="false">COUNTIFS(Ações!$C$6:$C$404,$L6,Ações!$N$6:$N$404,"&gt;="&amp;$R$5,Ações!$N$6:$N$404,"&lt;="&amp;$S$5,Ações!$O$6:$O$404,"Sim")</f>
        <v>0</v>
      </c>
      <c r="O6" s="31" t="str">
        <f aca="false">Listas!F6</f>
        <v>SA Propaganda</v>
      </c>
      <c r="P6" s="47" t="n">
        <f aca="false">COUNTIFS(Ações!$E$6:$E$404,$O6,Ações!$A$6:$A$404,"&gt;="&amp;$R$5,Ações!$A$6:$A$404,"&lt;="&amp;$S$5)</f>
        <v>0</v>
      </c>
    </row>
    <row r="7" customFormat="false" ht="15" hidden="false" customHeight="false" outlineLevel="0" collapsed="false">
      <c r="A7" s="44" t="n">
        <f aca="true">TODAY()-42</f>
        <v>46238</v>
      </c>
      <c r="B7" s="45" t="str">
        <f aca="false">TEXT($A7,"ddd")</f>
        <v>Tue</v>
      </c>
      <c r="C7" s="46" t="n">
        <f aca="false">COUNTIFS(Ações!$N$6:$N$404,$A7,Ações!$O$6:$O$404,"Sim")</f>
        <v>0</v>
      </c>
      <c r="D7" s="45" t="n">
        <f aca="false">COUNTIF(Ações!$A$6:$A$404,$A7)</f>
        <v>0</v>
      </c>
      <c r="E7" s="45" t="n">
        <f aca="false">COUNTIF(Repercussão!$A$6:$A$304,$A7)</f>
        <v>0</v>
      </c>
      <c r="F7" s="45" t="n">
        <f aca="false">Painel!$C$6</f>
        <v>60</v>
      </c>
      <c r="G7" s="45" t="str">
        <f aca="false">IF($C7&gt;=$F7,"Sim","Não")</f>
        <v>Não</v>
      </c>
      <c r="I7" s="31" t="str">
        <f aca="false">Listas!A7</f>
        <v>Cerrado</v>
      </c>
      <c r="J7" s="47" t="n">
        <f aca="false">COUNTIFS(Ações!$B$6:$B$404,$I7,Ações!$N$6:$N$404,"&gt;="&amp;$R$5,Ações!$N$6:$N$404,"&lt;="&amp;$S$5,Ações!$O$6:$O$404,"Sim")</f>
        <v>0</v>
      </c>
      <c r="L7" s="31" t="str">
        <f aca="false">Listas!B7</f>
        <v>Daniel Saturnino (Ícone)</v>
      </c>
      <c r="M7" s="47" t="n">
        <f aca="false">COUNTIFS(Ações!$C$6:$C$404,$L7,Ações!$N$6:$N$404,"&gt;="&amp;$R$5,Ações!$N$6:$N$404,"&lt;="&amp;$S$5,Ações!$O$6:$O$404,"Sim")</f>
        <v>0</v>
      </c>
      <c r="O7" s="31" t="str">
        <f aca="false">Listas!F7</f>
        <v>Conecta Piauí</v>
      </c>
      <c r="P7" s="47" t="n">
        <f aca="false">COUNTIFS(Ações!$E$6:$E$404,$O7,Ações!$A$6:$A$404,"&gt;="&amp;$R$5,Ações!$A$6:$A$404,"&lt;="&amp;$S$5)</f>
        <v>0</v>
      </c>
      <c r="R7" s="21" t="s">
        <v>197</v>
      </c>
    </row>
    <row r="8" customFormat="false" ht="15" hidden="false" customHeight="false" outlineLevel="0" collapsed="false">
      <c r="A8" s="44" t="n">
        <f aca="true">TODAY()-41</f>
        <v>46239</v>
      </c>
      <c r="B8" s="45" t="str">
        <f aca="false">TEXT($A8,"ddd")</f>
        <v>Wed</v>
      </c>
      <c r="C8" s="46" t="n">
        <f aca="false">COUNTIFS(Ações!$N$6:$N$404,$A8,Ações!$O$6:$O$404,"Sim")</f>
        <v>0</v>
      </c>
      <c r="D8" s="45" t="n">
        <f aca="false">COUNTIF(Ações!$A$6:$A$404,$A8)</f>
        <v>0</v>
      </c>
      <c r="E8" s="45" t="n">
        <f aca="false">COUNTIF(Repercussão!$A$6:$A$304,$A8)</f>
        <v>0</v>
      </c>
      <c r="F8" s="45" t="n">
        <f aca="false">Painel!$C$6</f>
        <v>60</v>
      </c>
      <c r="G8" s="45" t="str">
        <f aca="false">IF($C8&gt;=$F8,"Sim","Não")</f>
        <v>Não</v>
      </c>
      <c r="I8" s="31" t="str">
        <f aca="false">Listas!A8</f>
        <v>Semiárido Norte</v>
      </c>
      <c r="J8" s="47" t="n">
        <f aca="false">COUNTIFS(Ações!$B$6:$B$404,$I8,Ações!$N$6:$N$404,"&gt;="&amp;$R$5,Ações!$N$6:$N$404,"&lt;="&amp;$S$5,Ações!$O$6:$O$404,"Sim")</f>
        <v>0</v>
      </c>
      <c r="L8" s="31" t="str">
        <f aca="false">Listas!B8</f>
        <v>Ana Isabel Monteiro de Sousa</v>
      </c>
      <c r="M8" s="47" t="n">
        <f aca="false">COUNTIFS(Ações!$C$6:$C$404,$L8,Ações!$N$6:$N$404,"&gt;="&amp;$R$5,Ações!$N$6:$N$404,"&lt;="&amp;$S$5,Ações!$O$6:$O$404,"Sim")</f>
        <v>0</v>
      </c>
      <c r="O8" s="31" t="str">
        <f aca="false">Listas!F8</f>
        <v>Ícone Comunicação</v>
      </c>
      <c r="P8" s="47" t="n">
        <f aca="false">COUNTIFS(Ações!$E$6:$E$404,$O8,Ações!$A$6:$A$404,"&gt;="&amp;$R$5,Ações!$A$6:$A$404,"&lt;="&amp;$S$5)</f>
        <v>0</v>
      </c>
    </row>
    <row r="9" customFormat="false" ht="15" hidden="false" customHeight="false" outlineLevel="0" collapsed="false">
      <c r="A9" s="44" t="n">
        <f aca="true">TODAY()-40</f>
        <v>46240</v>
      </c>
      <c r="B9" s="45" t="str">
        <f aca="false">TEXT($A9,"ddd")</f>
        <v>Thu</v>
      </c>
      <c r="C9" s="46" t="n">
        <f aca="false">COUNTIFS(Ações!$N$6:$N$404,$A9,Ações!$O$6:$O$404,"Sim")</f>
        <v>0</v>
      </c>
      <c r="D9" s="45" t="n">
        <f aca="false">COUNTIF(Ações!$A$6:$A$404,$A9)</f>
        <v>0</v>
      </c>
      <c r="E9" s="45" t="n">
        <f aca="false">COUNTIF(Repercussão!$A$6:$A$304,$A9)</f>
        <v>0</v>
      </c>
      <c r="F9" s="45" t="n">
        <f aca="false">Painel!$C$6</f>
        <v>60</v>
      </c>
      <c r="G9" s="45" t="str">
        <f aca="false">IF($C9&gt;=$F9,"Sim","Não")</f>
        <v>Não</v>
      </c>
      <c r="I9" s="31" t="str">
        <f aca="false">Listas!A9</f>
        <v>Semiárido Sul</v>
      </c>
      <c r="J9" s="47" t="n">
        <f aca="false">COUNTIFS(Ações!$B$6:$B$404,$I9,Ações!$N$6:$N$404,"&gt;="&amp;$R$5,Ações!$N$6:$N$404,"&lt;="&amp;$S$5,Ações!$O$6:$O$404,"Sim")</f>
        <v>0</v>
      </c>
      <c r="L9" s="31" t="str">
        <f aca="false">Listas!B9</f>
        <v>Ivana Machado Vasconcelos</v>
      </c>
      <c r="M9" s="47" t="n">
        <f aca="false">COUNTIFS(Ações!$C$6:$C$404,$L9,Ações!$N$6:$N$404,"&gt;="&amp;$R$5,Ações!$N$6:$N$404,"&lt;="&amp;$S$5,Ações!$O$6:$O$404,"Sim")</f>
        <v>0</v>
      </c>
      <c r="O9" s="31" t="str">
        <f aca="false">Listas!F9</f>
        <v>Produtora local</v>
      </c>
      <c r="P9" s="47" t="n">
        <f aca="false">COUNTIFS(Ações!$E$6:$E$404,$O9,Ações!$A$6:$A$404,"&gt;="&amp;$R$5,Ações!$A$6:$A$404,"&lt;="&amp;$S$5)</f>
        <v>0</v>
      </c>
    </row>
    <row r="10" customFormat="false" ht="15" hidden="false" customHeight="false" outlineLevel="0" collapsed="false">
      <c r="A10" s="44" t="n">
        <f aca="true">TODAY()-39</f>
        <v>46241</v>
      </c>
      <c r="B10" s="45" t="str">
        <f aca="false">TEXT($A10,"ddd")</f>
        <v>Fri</v>
      </c>
      <c r="C10" s="46" t="n">
        <f aca="false">COUNTIFS(Ações!$N$6:$N$404,$A10,Ações!$O$6:$O$404,"Sim")</f>
        <v>0</v>
      </c>
      <c r="D10" s="45" t="n">
        <f aca="false">COUNTIF(Ações!$A$6:$A$404,$A10)</f>
        <v>0</v>
      </c>
      <c r="E10" s="45" t="n">
        <f aca="false">COUNTIF(Repercussão!$A$6:$A$304,$A10)</f>
        <v>0</v>
      </c>
      <c r="F10" s="45" t="n">
        <f aca="false">Painel!$C$6</f>
        <v>60</v>
      </c>
      <c r="G10" s="45" t="str">
        <f aca="false">IF($C10&gt;=$F10,"Sim","Não")</f>
        <v>Não</v>
      </c>
      <c r="I10" s="31" t="str">
        <f aca="false">Listas!A10</f>
        <v>Águas de Teresina</v>
      </c>
      <c r="J10" s="47" t="n">
        <f aca="false">COUNTIFS(Ações!$B$6:$B$404,$I10,Ações!$N$6:$N$404,"&gt;="&amp;$R$5,Ações!$N$6:$N$404,"&lt;="&amp;$S$5,Ações!$O$6:$O$404,"Sim")</f>
        <v>0</v>
      </c>
      <c r="L10" s="31" t="str">
        <f aca="false">Listas!B10</f>
        <v>Phillipe Xadai (Conecta Piauí)</v>
      </c>
      <c r="M10" s="47" t="n">
        <f aca="false">COUNTIFS(Ações!$C$6:$C$404,$L10,Ações!$N$6:$N$404,"&gt;="&amp;$R$5,Ações!$N$6:$N$404,"&lt;="&amp;$S$5,Ações!$O$6:$O$404,"Sim")</f>
        <v>0</v>
      </c>
      <c r="O10" s="31" t="str">
        <f aca="false">Listas!F10</f>
        <v>Gráfica</v>
      </c>
      <c r="P10" s="47" t="n">
        <f aca="false">COUNTIFS(Ações!$E$6:$E$404,$O10,Ações!$A$6:$A$404,"&gt;="&amp;$R$5,Ações!$A$6:$A$404,"&lt;="&amp;$S$5)</f>
        <v>0</v>
      </c>
    </row>
    <row r="11" customFormat="false" ht="15" hidden="false" customHeight="false" outlineLevel="0" collapsed="false">
      <c r="A11" s="44" t="n">
        <f aca="true">TODAY()-38</f>
        <v>46242</v>
      </c>
      <c r="B11" s="45" t="str">
        <f aca="false">TEXT($A11,"ddd")</f>
        <v>Sat</v>
      </c>
      <c r="C11" s="46" t="n">
        <f aca="false">COUNTIFS(Ações!$N$6:$N$404,$A11,Ações!$O$6:$O$404,"Sim")</f>
        <v>0</v>
      </c>
      <c r="D11" s="45" t="n">
        <f aca="false">COUNTIF(Ações!$A$6:$A$404,$A11)</f>
        <v>0</v>
      </c>
      <c r="E11" s="45" t="n">
        <f aca="false">COUNTIF(Repercussão!$A$6:$A$304,$A11)</f>
        <v>0</v>
      </c>
      <c r="F11" s="45" t="n">
        <f aca="false">Painel!$C$6</f>
        <v>60</v>
      </c>
      <c r="G11" s="45" t="str">
        <f aca="false">IF($C11&gt;=$F11,"Sim","Não")</f>
        <v>Não</v>
      </c>
      <c r="L11" s="31" t="str">
        <f aca="false">Listas!B11</f>
        <v>Maria Andreia Monteiro de Sousa</v>
      </c>
      <c r="M11" s="47" t="n">
        <f aca="false">COUNTIFS(Ações!$C$6:$C$404,$L11,Ações!$N$6:$N$404,"&gt;="&amp;$R$5,Ações!$N$6:$N$404,"&lt;="&amp;$S$5,Ações!$O$6:$O$404,"Sim")</f>
        <v>0</v>
      </c>
    </row>
    <row r="12" customFormat="false" ht="15" hidden="false" customHeight="false" outlineLevel="0" collapsed="false">
      <c r="A12" s="44" t="n">
        <f aca="true">TODAY()-37</f>
        <v>46243</v>
      </c>
      <c r="B12" s="45" t="str">
        <f aca="false">TEXT($A12,"ddd")</f>
        <v>Sun</v>
      </c>
      <c r="C12" s="46" t="n">
        <f aca="false">COUNTIFS(Ações!$N$6:$N$404,$A12,Ações!$O$6:$O$404,"Sim")</f>
        <v>0</v>
      </c>
      <c r="D12" s="45" t="n">
        <f aca="false">COUNTIF(Ações!$A$6:$A$404,$A12)</f>
        <v>0</v>
      </c>
      <c r="E12" s="45" t="n">
        <f aca="false">COUNTIF(Repercussão!$A$6:$A$304,$A12)</f>
        <v>0</v>
      </c>
      <c r="F12" s="45" t="n">
        <f aca="false">Painel!$C$6</f>
        <v>60</v>
      </c>
      <c r="G12" s="45" t="str">
        <f aca="false">IF($C12&gt;=$F12,"Sim","Não")</f>
        <v>Não</v>
      </c>
      <c r="L12" s="31" t="str">
        <f aca="false">Listas!B12</f>
        <v>Fernanda Messias de Carvalho</v>
      </c>
      <c r="M12" s="47" t="n">
        <f aca="false">COUNTIFS(Ações!$C$6:$C$404,$L12,Ações!$N$6:$N$404,"&gt;="&amp;$R$5,Ações!$N$6:$N$404,"&lt;="&amp;$S$5,Ações!$O$6:$O$404,"Sim")</f>
        <v>0</v>
      </c>
    </row>
    <row r="13" customFormat="false" ht="15" hidden="false" customHeight="false" outlineLevel="0" collapsed="false">
      <c r="A13" s="44" t="n">
        <f aca="true">TODAY()-36</f>
        <v>46244</v>
      </c>
      <c r="B13" s="45" t="str">
        <f aca="false">TEXT($A13,"ddd")</f>
        <v>Mon</v>
      </c>
      <c r="C13" s="46" t="n">
        <f aca="false">COUNTIFS(Ações!$N$6:$N$404,$A13,Ações!$O$6:$O$404,"Sim")</f>
        <v>0</v>
      </c>
      <c r="D13" s="45" t="n">
        <f aca="false">COUNTIF(Ações!$A$6:$A$404,$A13)</f>
        <v>0</v>
      </c>
      <c r="E13" s="45" t="n">
        <f aca="false">COUNTIF(Repercussão!$A$6:$A$304,$A13)</f>
        <v>0</v>
      </c>
      <c r="F13" s="45" t="n">
        <f aca="false">Painel!$C$6</f>
        <v>60</v>
      </c>
      <c r="G13" s="45" t="str">
        <f aca="false">IF($C13&gt;=$F13,"Sim","Não")</f>
        <v>Não</v>
      </c>
      <c r="L13" s="31" t="str">
        <f aca="false">Listas!B13</f>
        <v>Leonardo Costa (Conecta Piauí)</v>
      </c>
      <c r="M13" s="47" t="n">
        <f aca="false">COUNTIFS(Ações!$C$6:$C$404,$L13,Ações!$N$6:$N$404,"&gt;="&amp;$R$5,Ações!$N$6:$N$404,"&lt;="&amp;$S$5,Ações!$O$6:$O$404,"Sim")</f>
        <v>0</v>
      </c>
    </row>
    <row r="14" customFormat="false" ht="15" hidden="false" customHeight="false" outlineLevel="0" collapsed="false">
      <c r="A14" s="44" t="n">
        <f aca="true">TODAY()-35</f>
        <v>46245</v>
      </c>
      <c r="B14" s="45" t="str">
        <f aca="false">TEXT($A14,"ddd")</f>
        <v>Tue</v>
      </c>
      <c r="C14" s="46" t="n">
        <f aca="false">COUNTIFS(Ações!$N$6:$N$404,$A14,Ações!$O$6:$O$404,"Sim")</f>
        <v>0</v>
      </c>
      <c r="D14" s="45" t="n">
        <f aca="false">COUNTIF(Ações!$A$6:$A$404,$A14)</f>
        <v>0</v>
      </c>
      <c r="E14" s="45" t="n">
        <f aca="false">COUNTIF(Repercussão!$A$6:$A$304,$A14)</f>
        <v>0</v>
      </c>
      <c r="F14" s="45" t="n">
        <f aca="false">Painel!$C$6</f>
        <v>60</v>
      </c>
      <c r="G14" s="45" t="str">
        <f aca="false">IF($C14&gt;=$F14,"Sim","Não")</f>
        <v>Não</v>
      </c>
      <c r="L14" s="31" t="str">
        <f aca="false">Listas!B14</f>
        <v>Marta Soares Lima</v>
      </c>
      <c r="M14" s="47" t="n">
        <f aca="false">COUNTIFS(Ações!$C$6:$C$404,$L14,Ações!$N$6:$N$404,"&gt;="&amp;$R$5,Ações!$N$6:$N$404,"&lt;="&amp;$S$5,Ações!$O$6:$O$404,"Sim")</f>
        <v>0</v>
      </c>
    </row>
    <row r="15" customFormat="false" ht="15" hidden="false" customHeight="false" outlineLevel="0" collapsed="false">
      <c r="A15" s="44" t="n">
        <f aca="true">TODAY()-34</f>
        <v>46246</v>
      </c>
      <c r="B15" s="45" t="str">
        <f aca="false">TEXT($A15,"ddd")</f>
        <v>Wed</v>
      </c>
      <c r="C15" s="46" t="n">
        <f aca="false">COUNTIFS(Ações!$N$6:$N$404,$A15,Ações!$O$6:$O$404,"Sim")</f>
        <v>0</v>
      </c>
      <c r="D15" s="45" t="n">
        <f aca="false">COUNTIF(Ações!$A$6:$A$404,$A15)</f>
        <v>0</v>
      </c>
      <c r="E15" s="45" t="n">
        <f aca="false">COUNTIF(Repercussão!$A$6:$A$304,$A15)</f>
        <v>0</v>
      </c>
      <c r="F15" s="45" t="n">
        <f aca="false">Painel!$C$6</f>
        <v>60</v>
      </c>
      <c r="G15" s="45" t="str">
        <f aca="false">IF($C15&gt;=$F15,"Sim","Não")</f>
        <v>Não</v>
      </c>
      <c r="L15" s="31" t="str">
        <f aca="false">Listas!B15</f>
        <v>Thyago Felipe Alves da Costa</v>
      </c>
      <c r="M15" s="47" t="n">
        <f aca="false">COUNTIFS(Ações!$C$6:$C$404,$L15,Ações!$N$6:$N$404,"&gt;="&amp;$R$5,Ações!$N$6:$N$404,"&lt;="&amp;$S$5,Ações!$O$6:$O$404,"Sim")</f>
        <v>0</v>
      </c>
    </row>
    <row r="16" customFormat="false" ht="15" hidden="false" customHeight="false" outlineLevel="0" collapsed="false">
      <c r="A16" s="44" t="n">
        <f aca="true">TODAY()-33</f>
        <v>46247</v>
      </c>
      <c r="B16" s="45" t="str">
        <f aca="false">TEXT($A16,"ddd")</f>
        <v>Thu</v>
      </c>
      <c r="C16" s="46" t="n">
        <f aca="false">COUNTIFS(Ações!$N$6:$N$404,$A16,Ações!$O$6:$O$404,"Sim")</f>
        <v>0</v>
      </c>
      <c r="D16" s="45" t="n">
        <f aca="false">COUNTIF(Ações!$A$6:$A$404,$A16)</f>
        <v>0</v>
      </c>
      <c r="E16" s="45" t="n">
        <f aca="false">COUNTIF(Repercussão!$A$6:$A$304,$A16)</f>
        <v>0</v>
      </c>
      <c r="F16" s="45" t="n">
        <f aca="false">Painel!$C$6</f>
        <v>60</v>
      </c>
      <c r="G16" s="45" t="str">
        <f aca="false">IF($C16&gt;=$F16,"Sim","Não")</f>
        <v>Não</v>
      </c>
      <c r="L16" s="31" t="str">
        <f aca="false">Listas!B16</f>
        <v>Beatriz Holanda (Ícone)</v>
      </c>
      <c r="M16" s="47" t="n">
        <f aca="false">COUNTIFS(Ações!$C$6:$C$404,$L16,Ações!$N$6:$N$404,"&gt;="&amp;$R$5,Ações!$N$6:$N$404,"&lt;="&amp;$S$5,Ações!$O$6:$O$404,"Sim")</f>
        <v>0</v>
      </c>
    </row>
    <row r="17" customFormat="false" ht="15" hidden="false" customHeight="false" outlineLevel="0" collapsed="false">
      <c r="A17" s="44" t="n">
        <f aca="true">TODAY()-32</f>
        <v>46248</v>
      </c>
      <c r="B17" s="45" t="str">
        <f aca="false">TEXT($A17,"ddd")</f>
        <v>Fri</v>
      </c>
      <c r="C17" s="46" t="n">
        <f aca="false">COUNTIFS(Ações!$N$6:$N$404,$A17,Ações!$O$6:$O$404,"Sim")</f>
        <v>0</v>
      </c>
      <c r="D17" s="45" t="n">
        <f aca="false">COUNTIF(Ações!$A$6:$A$404,$A17)</f>
        <v>0</v>
      </c>
      <c r="E17" s="45" t="n">
        <f aca="false">COUNTIF(Repercussão!$A$6:$A$304,$A17)</f>
        <v>0</v>
      </c>
      <c r="F17" s="45" t="n">
        <f aca="false">Painel!$C$6</f>
        <v>60</v>
      </c>
      <c r="G17" s="45" t="str">
        <f aca="false">IF($C17&gt;=$F17,"Sim","Não")</f>
        <v>Não</v>
      </c>
      <c r="L17" s="31" t="str">
        <f aca="false">Listas!B17</f>
        <v>Marcio Messias dos Santos</v>
      </c>
      <c r="M17" s="47" t="n">
        <f aca="false">COUNTIFS(Ações!$C$6:$C$404,$L17,Ações!$N$6:$N$404,"&gt;="&amp;$R$5,Ações!$N$6:$N$404,"&lt;="&amp;$S$5,Ações!$O$6:$O$404,"Sim")</f>
        <v>0</v>
      </c>
    </row>
    <row r="18" customFormat="false" ht="15" hidden="false" customHeight="false" outlineLevel="0" collapsed="false">
      <c r="A18" s="44" t="n">
        <f aca="true">TODAY()-31</f>
        <v>46249</v>
      </c>
      <c r="B18" s="45" t="str">
        <f aca="false">TEXT($A18,"ddd")</f>
        <v>Sat</v>
      </c>
      <c r="C18" s="46" t="n">
        <f aca="false">COUNTIFS(Ações!$N$6:$N$404,$A18,Ações!$O$6:$O$404,"Sim")</f>
        <v>0</v>
      </c>
      <c r="D18" s="45" t="n">
        <f aca="false">COUNTIF(Ações!$A$6:$A$404,$A18)</f>
        <v>0</v>
      </c>
      <c r="E18" s="45" t="n">
        <f aca="false">COUNTIF(Repercussão!$A$6:$A$304,$A18)</f>
        <v>0</v>
      </c>
      <c r="F18" s="45" t="n">
        <f aca="false">Painel!$C$6</f>
        <v>60</v>
      </c>
      <c r="G18" s="45" t="str">
        <f aca="false">IF($C18&gt;=$F18,"Sim","Não")</f>
        <v>Não</v>
      </c>
      <c r="L18" s="31" t="str">
        <f aca="false">Listas!B18</f>
        <v>Thaynara Rakel Rodrigues Costa</v>
      </c>
      <c r="M18" s="47" t="n">
        <f aca="false">COUNTIFS(Ações!$C$6:$C$404,$L18,Ações!$N$6:$N$404,"&gt;="&amp;$R$5,Ações!$N$6:$N$404,"&lt;="&amp;$S$5,Ações!$O$6:$O$404,"Sim")</f>
        <v>0</v>
      </c>
    </row>
    <row r="19" customFormat="false" ht="15" hidden="false" customHeight="false" outlineLevel="0" collapsed="false">
      <c r="A19" s="44" t="n">
        <f aca="true">TODAY()-30</f>
        <v>46250</v>
      </c>
      <c r="B19" s="45" t="str">
        <f aca="false">TEXT($A19,"ddd")</f>
        <v>Sun</v>
      </c>
      <c r="C19" s="46" t="n">
        <f aca="false">COUNTIFS(Ações!$N$6:$N$404,$A19,Ações!$O$6:$O$404,"Sim")</f>
        <v>0</v>
      </c>
      <c r="D19" s="45" t="n">
        <f aca="false">COUNTIF(Ações!$A$6:$A$404,$A19)</f>
        <v>0</v>
      </c>
      <c r="E19" s="45" t="n">
        <f aca="false">COUNTIF(Repercussão!$A$6:$A$304,$A19)</f>
        <v>0</v>
      </c>
      <c r="F19" s="45" t="n">
        <f aca="false">Painel!$C$6</f>
        <v>60</v>
      </c>
      <c r="G19" s="45" t="str">
        <f aca="false">IF($C19&gt;=$F19,"Sim","Não")</f>
        <v>Não</v>
      </c>
      <c r="L19" s="31" t="str">
        <f aca="false">Listas!B19</f>
        <v>Laurel Ferreira (Ícone)</v>
      </c>
      <c r="M19" s="47" t="n">
        <f aca="false">COUNTIFS(Ações!$C$6:$C$404,$L19,Ações!$N$6:$N$404,"&gt;="&amp;$R$5,Ações!$N$6:$N$404,"&lt;="&amp;$S$5,Ações!$O$6:$O$404,"Sim")</f>
        <v>0</v>
      </c>
    </row>
    <row r="20" customFormat="false" ht="15" hidden="false" customHeight="false" outlineLevel="0" collapsed="false">
      <c r="A20" s="44" t="n">
        <f aca="true">TODAY()-29</f>
        <v>46251</v>
      </c>
      <c r="B20" s="45" t="str">
        <f aca="false">TEXT($A20,"ddd")</f>
        <v>Mon</v>
      </c>
      <c r="C20" s="46" t="n">
        <f aca="false">COUNTIFS(Ações!$N$6:$N$404,$A20,Ações!$O$6:$O$404,"Sim")</f>
        <v>0</v>
      </c>
      <c r="D20" s="45" t="n">
        <f aca="false">COUNTIF(Ações!$A$6:$A$404,$A20)</f>
        <v>0</v>
      </c>
      <c r="E20" s="45" t="n">
        <f aca="false">COUNTIF(Repercussão!$A$6:$A$304,$A20)</f>
        <v>0</v>
      </c>
      <c r="F20" s="45" t="n">
        <f aca="false">Painel!$C$6</f>
        <v>60</v>
      </c>
      <c r="G20" s="45" t="str">
        <f aca="false">IF($C20&gt;=$F20,"Sim","Não")</f>
        <v>Não</v>
      </c>
      <c r="L20" s="31" t="str">
        <f aca="false">Listas!B20</f>
        <v>Gabriela de Oliveira Santos Carvalho</v>
      </c>
      <c r="M20" s="47" t="n">
        <f aca="false">COUNTIFS(Ações!$C$6:$C$404,$L20,Ações!$N$6:$N$404,"&gt;="&amp;$R$5,Ações!$N$6:$N$404,"&lt;="&amp;$S$5,Ações!$O$6:$O$404,"Sim")</f>
        <v>0</v>
      </c>
    </row>
    <row r="21" customFormat="false" ht="15" hidden="false" customHeight="false" outlineLevel="0" collapsed="false">
      <c r="A21" s="44" t="n">
        <f aca="true">TODAY()-28</f>
        <v>46252</v>
      </c>
      <c r="B21" s="45" t="str">
        <f aca="false">TEXT($A21,"ddd")</f>
        <v>Tue</v>
      </c>
      <c r="C21" s="46" t="n">
        <f aca="false">COUNTIFS(Ações!$N$6:$N$404,$A21,Ações!$O$6:$O$404,"Sim")</f>
        <v>0</v>
      </c>
      <c r="D21" s="45" t="n">
        <f aca="false">COUNTIF(Ações!$A$6:$A$404,$A21)</f>
        <v>0</v>
      </c>
      <c r="E21" s="45" t="n">
        <f aca="false">COUNTIF(Repercussão!$A$6:$A$304,$A21)</f>
        <v>0</v>
      </c>
      <c r="F21" s="45" t="n">
        <f aca="false">Painel!$C$6</f>
        <v>60</v>
      </c>
      <c r="G21" s="45" t="str">
        <f aca="false">IF($C21&gt;=$F21,"Sim","Não")</f>
        <v>Não</v>
      </c>
      <c r="L21" s="31" t="str">
        <f aca="false">Listas!B21</f>
        <v>Isaac Haron (Ícone)</v>
      </c>
      <c r="M21" s="47" t="n">
        <f aca="false">COUNTIFS(Ações!$C$6:$C$404,$L21,Ações!$N$6:$N$404,"&gt;="&amp;$R$5,Ações!$N$6:$N$404,"&lt;="&amp;$S$5,Ações!$O$6:$O$404,"Sim")</f>
        <v>0</v>
      </c>
    </row>
    <row r="22" customFormat="false" ht="15" hidden="false" customHeight="false" outlineLevel="0" collapsed="false">
      <c r="A22" s="44" t="n">
        <f aca="true">TODAY()-27</f>
        <v>46253</v>
      </c>
      <c r="B22" s="45" t="str">
        <f aca="false">TEXT($A22,"ddd")</f>
        <v>Wed</v>
      </c>
      <c r="C22" s="46" t="n">
        <f aca="false">COUNTIFS(Ações!$N$6:$N$404,$A22,Ações!$O$6:$O$404,"Sim")</f>
        <v>0</v>
      </c>
      <c r="D22" s="45" t="n">
        <f aca="false">COUNTIF(Ações!$A$6:$A$404,$A22)</f>
        <v>0</v>
      </c>
      <c r="E22" s="45" t="n">
        <f aca="false">COUNTIF(Repercussão!$A$6:$A$304,$A22)</f>
        <v>0</v>
      </c>
      <c r="F22" s="45" t="n">
        <f aca="false">Painel!$C$6</f>
        <v>60</v>
      </c>
      <c r="G22" s="45" t="str">
        <f aca="false">IF($C22&gt;=$F22,"Sim","Não")</f>
        <v>Não</v>
      </c>
      <c r="L22" s="31" t="str">
        <f aca="false">Listas!B22</f>
        <v>Virgiane Rodrigues Passos (férias)</v>
      </c>
      <c r="M22" s="47" t="n">
        <f aca="false">COUNTIFS(Ações!$C$6:$C$404,$L22,Ações!$N$6:$N$404,"&gt;="&amp;$R$5,Ações!$N$6:$N$404,"&lt;="&amp;$S$5,Ações!$O$6:$O$404,"Sim")</f>
        <v>0</v>
      </c>
    </row>
    <row r="23" customFormat="false" ht="15" hidden="false" customHeight="false" outlineLevel="0" collapsed="false">
      <c r="A23" s="44" t="n">
        <f aca="true">TODAY()-26</f>
        <v>46254</v>
      </c>
      <c r="B23" s="45" t="str">
        <f aca="false">TEXT($A23,"ddd")</f>
        <v>Thu</v>
      </c>
      <c r="C23" s="46" t="n">
        <f aca="false">COUNTIFS(Ações!$N$6:$N$404,$A23,Ações!$O$6:$O$404,"Sim")</f>
        <v>0</v>
      </c>
      <c r="D23" s="45" t="n">
        <f aca="false">COUNTIF(Ações!$A$6:$A$404,$A23)</f>
        <v>0</v>
      </c>
      <c r="E23" s="45" t="n">
        <f aca="false">COUNTIF(Repercussão!$A$6:$A$304,$A23)</f>
        <v>0</v>
      </c>
      <c r="F23" s="45" t="n">
        <f aca="false">Painel!$C$6</f>
        <v>60</v>
      </c>
      <c r="G23" s="45" t="str">
        <f aca="false">IF($C23&gt;=$F23,"Sim","Não")</f>
        <v>Não</v>
      </c>
    </row>
    <row r="24" customFormat="false" ht="15" hidden="false" customHeight="false" outlineLevel="0" collapsed="false">
      <c r="A24" s="44" t="n">
        <f aca="true">TODAY()-25</f>
        <v>46255</v>
      </c>
      <c r="B24" s="45" t="str">
        <f aca="false">TEXT($A24,"ddd")</f>
        <v>Fri</v>
      </c>
      <c r="C24" s="46" t="n">
        <f aca="false">COUNTIFS(Ações!$N$6:$N$404,$A24,Ações!$O$6:$O$404,"Sim")</f>
        <v>0</v>
      </c>
      <c r="D24" s="45" t="n">
        <f aca="false">COUNTIF(Ações!$A$6:$A$404,$A24)</f>
        <v>0</v>
      </c>
      <c r="E24" s="45" t="n">
        <f aca="false">COUNTIF(Repercussão!$A$6:$A$304,$A24)</f>
        <v>0</v>
      </c>
      <c r="F24" s="45" t="n">
        <f aca="false">Painel!$C$6</f>
        <v>60</v>
      </c>
      <c r="G24" s="45" t="str">
        <f aca="false">IF($C24&gt;=$F24,"Sim","Não")</f>
        <v>Não</v>
      </c>
    </row>
    <row r="25" customFormat="false" ht="15" hidden="false" customHeight="false" outlineLevel="0" collapsed="false">
      <c r="A25" s="44" t="n">
        <f aca="true">TODAY()-24</f>
        <v>46256</v>
      </c>
      <c r="B25" s="45" t="str">
        <f aca="false">TEXT($A25,"ddd")</f>
        <v>Sat</v>
      </c>
      <c r="C25" s="46" t="n">
        <f aca="false">COUNTIFS(Ações!$N$6:$N$404,$A25,Ações!$O$6:$O$404,"Sim")</f>
        <v>0</v>
      </c>
      <c r="D25" s="45" t="n">
        <f aca="false">COUNTIF(Ações!$A$6:$A$404,$A25)</f>
        <v>0</v>
      </c>
      <c r="E25" s="45" t="n">
        <f aca="false">COUNTIF(Repercussão!$A$6:$A$304,$A25)</f>
        <v>0</v>
      </c>
      <c r="F25" s="45" t="n">
        <f aca="false">Painel!$C$6</f>
        <v>60</v>
      </c>
      <c r="G25" s="45" t="str">
        <f aca="false">IF($C25&gt;=$F25,"Sim","Não")</f>
        <v>Não</v>
      </c>
    </row>
    <row r="26" customFormat="false" ht="15" hidden="false" customHeight="false" outlineLevel="0" collapsed="false">
      <c r="A26" s="44" t="n">
        <f aca="true">TODAY()-23</f>
        <v>46257</v>
      </c>
      <c r="B26" s="45" t="str">
        <f aca="false">TEXT($A26,"ddd")</f>
        <v>Sun</v>
      </c>
      <c r="C26" s="46" t="n">
        <f aca="false">COUNTIFS(Ações!$N$6:$N$404,$A26,Ações!$O$6:$O$404,"Sim")</f>
        <v>0</v>
      </c>
      <c r="D26" s="45" t="n">
        <f aca="false">COUNTIF(Ações!$A$6:$A$404,$A26)</f>
        <v>0</v>
      </c>
      <c r="E26" s="45" t="n">
        <f aca="false">COUNTIF(Repercussão!$A$6:$A$304,$A26)</f>
        <v>0</v>
      </c>
      <c r="F26" s="45" t="n">
        <f aca="false">Painel!$C$6</f>
        <v>60</v>
      </c>
      <c r="G26" s="45" t="str">
        <f aca="false">IF($C26&gt;=$F26,"Sim","Não")</f>
        <v>Não</v>
      </c>
    </row>
    <row r="27" customFormat="false" ht="15" hidden="false" customHeight="false" outlineLevel="0" collapsed="false">
      <c r="A27" s="44" t="n">
        <f aca="true">TODAY()-22</f>
        <v>46258</v>
      </c>
      <c r="B27" s="45" t="str">
        <f aca="false">TEXT($A27,"ddd")</f>
        <v>Mon</v>
      </c>
      <c r="C27" s="46" t="n">
        <f aca="false">COUNTIFS(Ações!$N$6:$N$404,$A27,Ações!$O$6:$O$404,"Sim")</f>
        <v>0</v>
      </c>
      <c r="D27" s="45" t="n">
        <f aca="false">COUNTIF(Ações!$A$6:$A$404,$A27)</f>
        <v>0</v>
      </c>
      <c r="E27" s="45" t="n">
        <f aca="false">COUNTIF(Repercussão!$A$6:$A$304,$A27)</f>
        <v>0</v>
      </c>
      <c r="F27" s="45" t="n">
        <f aca="false">Painel!$C$6</f>
        <v>60</v>
      </c>
      <c r="G27" s="45" t="str">
        <f aca="false">IF($C27&gt;=$F27,"Sim","Não")</f>
        <v>Não</v>
      </c>
    </row>
    <row r="28" customFormat="false" ht="15" hidden="false" customHeight="false" outlineLevel="0" collapsed="false">
      <c r="A28" s="44" t="n">
        <f aca="true">TODAY()-21</f>
        <v>46259</v>
      </c>
      <c r="B28" s="45" t="str">
        <f aca="false">TEXT($A28,"ddd")</f>
        <v>Tue</v>
      </c>
      <c r="C28" s="46" t="n">
        <f aca="false">COUNTIFS(Ações!$N$6:$N$404,$A28,Ações!$O$6:$O$404,"Sim")</f>
        <v>0</v>
      </c>
      <c r="D28" s="45" t="n">
        <f aca="false">COUNTIF(Ações!$A$6:$A$404,$A28)</f>
        <v>0</v>
      </c>
      <c r="E28" s="45" t="n">
        <f aca="false">COUNTIF(Repercussão!$A$6:$A$304,$A28)</f>
        <v>0</v>
      </c>
      <c r="F28" s="45" t="n">
        <f aca="false">Painel!$C$6</f>
        <v>60</v>
      </c>
      <c r="G28" s="45" t="str">
        <f aca="false">IF($C28&gt;=$F28,"Sim","Não")</f>
        <v>Não</v>
      </c>
    </row>
    <row r="29" customFormat="false" ht="15" hidden="false" customHeight="false" outlineLevel="0" collapsed="false">
      <c r="A29" s="44" t="n">
        <f aca="true">TODAY()-20</f>
        <v>46260</v>
      </c>
      <c r="B29" s="45" t="str">
        <f aca="false">TEXT($A29,"ddd")</f>
        <v>Wed</v>
      </c>
      <c r="C29" s="46" t="n">
        <f aca="false">COUNTIFS(Ações!$N$6:$N$404,$A29,Ações!$O$6:$O$404,"Sim")</f>
        <v>0</v>
      </c>
      <c r="D29" s="45" t="n">
        <f aca="false">COUNTIF(Ações!$A$6:$A$404,$A29)</f>
        <v>0</v>
      </c>
      <c r="E29" s="45" t="n">
        <f aca="false">COUNTIF(Repercussão!$A$6:$A$304,$A29)</f>
        <v>0</v>
      </c>
      <c r="F29" s="45" t="n">
        <f aca="false">Painel!$C$6</f>
        <v>60</v>
      </c>
      <c r="G29" s="45" t="str">
        <f aca="false">IF($C29&gt;=$F29,"Sim","Não")</f>
        <v>Não</v>
      </c>
    </row>
    <row r="30" customFormat="false" ht="15" hidden="false" customHeight="false" outlineLevel="0" collapsed="false">
      <c r="A30" s="44" t="n">
        <f aca="true">TODAY()-19</f>
        <v>46261</v>
      </c>
      <c r="B30" s="45" t="str">
        <f aca="false">TEXT($A30,"ddd")</f>
        <v>Thu</v>
      </c>
      <c r="C30" s="46" t="n">
        <f aca="false">COUNTIFS(Ações!$N$6:$N$404,$A30,Ações!$O$6:$O$404,"Sim")</f>
        <v>0</v>
      </c>
      <c r="D30" s="45" t="n">
        <f aca="false">COUNTIF(Ações!$A$6:$A$404,$A30)</f>
        <v>0</v>
      </c>
      <c r="E30" s="45" t="n">
        <f aca="false">COUNTIF(Repercussão!$A$6:$A$304,$A30)</f>
        <v>0</v>
      </c>
      <c r="F30" s="45" t="n">
        <f aca="false">Painel!$C$6</f>
        <v>60</v>
      </c>
      <c r="G30" s="45" t="str">
        <f aca="false">IF($C30&gt;=$F30,"Sim","Não")</f>
        <v>Não</v>
      </c>
    </row>
    <row r="31" customFormat="false" ht="15" hidden="false" customHeight="false" outlineLevel="0" collapsed="false">
      <c r="A31" s="44" t="n">
        <f aca="true">TODAY()-18</f>
        <v>46262</v>
      </c>
      <c r="B31" s="45" t="str">
        <f aca="false">TEXT($A31,"ddd")</f>
        <v>Fri</v>
      </c>
      <c r="C31" s="46" t="n">
        <f aca="false">COUNTIFS(Ações!$N$6:$N$404,$A31,Ações!$O$6:$O$404,"Sim")</f>
        <v>0</v>
      </c>
      <c r="D31" s="45" t="n">
        <f aca="false">COUNTIF(Ações!$A$6:$A$404,$A31)</f>
        <v>0</v>
      </c>
      <c r="E31" s="45" t="n">
        <f aca="false">COUNTIF(Repercussão!$A$6:$A$304,$A31)</f>
        <v>0</v>
      </c>
      <c r="F31" s="45" t="n">
        <f aca="false">Painel!$C$6</f>
        <v>60</v>
      </c>
      <c r="G31" s="45" t="str">
        <f aca="false">IF($C31&gt;=$F31,"Sim","Não")</f>
        <v>Não</v>
      </c>
    </row>
    <row r="32" customFormat="false" ht="15" hidden="false" customHeight="false" outlineLevel="0" collapsed="false">
      <c r="A32" s="44" t="n">
        <f aca="true">TODAY()-17</f>
        <v>46263</v>
      </c>
      <c r="B32" s="45" t="str">
        <f aca="false">TEXT($A32,"ddd")</f>
        <v>Sat</v>
      </c>
      <c r="C32" s="46" t="n">
        <f aca="false">COUNTIFS(Ações!$N$6:$N$404,$A32,Ações!$O$6:$O$404,"Sim")</f>
        <v>0</v>
      </c>
      <c r="D32" s="45" t="n">
        <f aca="false">COUNTIF(Ações!$A$6:$A$404,$A32)</f>
        <v>0</v>
      </c>
      <c r="E32" s="45" t="n">
        <f aca="false">COUNTIF(Repercussão!$A$6:$A$304,$A32)</f>
        <v>0</v>
      </c>
      <c r="F32" s="45" t="n">
        <f aca="false">Painel!$C$6</f>
        <v>60</v>
      </c>
      <c r="G32" s="45" t="str">
        <f aca="false">IF($C32&gt;=$F32,"Sim","Não")</f>
        <v>Não</v>
      </c>
    </row>
    <row r="33" customFormat="false" ht="15" hidden="false" customHeight="false" outlineLevel="0" collapsed="false">
      <c r="A33" s="44" t="n">
        <f aca="true">TODAY()-16</f>
        <v>46264</v>
      </c>
      <c r="B33" s="45" t="str">
        <f aca="false">TEXT($A33,"ddd")</f>
        <v>Sun</v>
      </c>
      <c r="C33" s="46" t="n">
        <f aca="false">COUNTIFS(Ações!$N$6:$N$404,$A33,Ações!$O$6:$O$404,"Sim")</f>
        <v>0</v>
      </c>
      <c r="D33" s="45" t="n">
        <f aca="false">COUNTIF(Ações!$A$6:$A$404,$A33)</f>
        <v>0</v>
      </c>
      <c r="E33" s="45" t="n">
        <f aca="false">COUNTIF(Repercussão!$A$6:$A$304,$A33)</f>
        <v>0</v>
      </c>
      <c r="F33" s="45" t="n">
        <f aca="false">Painel!$C$6</f>
        <v>60</v>
      </c>
      <c r="G33" s="45" t="str">
        <f aca="false">IF($C33&gt;=$F33,"Sim","Não")</f>
        <v>Não</v>
      </c>
    </row>
    <row r="34" customFormat="false" ht="15" hidden="false" customHeight="false" outlineLevel="0" collapsed="false">
      <c r="A34" s="44" t="n">
        <f aca="true">TODAY()-15</f>
        <v>46265</v>
      </c>
      <c r="B34" s="45" t="str">
        <f aca="false">TEXT($A34,"ddd")</f>
        <v>Mon</v>
      </c>
      <c r="C34" s="46" t="n">
        <f aca="false">COUNTIFS(Ações!$N$6:$N$404,$A34,Ações!$O$6:$O$404,"Sim")</f>
        <v>0</v>
      </c>
      <c r="D34" s="45" t="n">
        <f aca="false">COUNTIF(Ações!$A$6:$A$404,$A34)</f>
        <v>0</v>
      </c>
      <c r="E34" s="45" t="n">
        <f aca="false">COUNTIF(Repercussão!$A$6:$A$304,$A34)</f>
        <v>0</v>
      </c>
      <c r="F34" s="45" t="n">
        <f aca="false">Painel!$C$6</f>
        <v>60</v>
      </c>
      <c r="G34" s="45" t="str">
        <f aca="false">IF($C34&gt;=$F34,"Sim","Não")</f>
        <v>Não</v>
      </c>
    </row>
    <row r="35" customFormat="false" ht="15" hidden="false" customHeight="false" outlineLevel="0" collapsed="false">
      <c r="A35" s="44" t="n">
        <f aca="true">TODAY()-14</f>
        <v>46266</v>
      </c>
      <c r="B35" s="45" t="str">
        <f aca="false">TEXT($A35,"ddd")</f>
        <v>Tue</v>
      </c>
      <c r="C35" s="46" t="n">
        <f aca="false">COUNTIFS(Ações!$N$6:$N$404,$A35,Ações!$O$6:$O$404,"Sim")</f>
        <v>0</v>
      </c>
      <c r="D35" s="45" t="n">
        <f aca="false">COUNTIF(Ações!$A$6:$A$404,$A35)</f>
        <v>0</v>
      </c>
      <c r="E35" s="45" t="n">
        <f aca="false">COUNTIF(Repercussão!$A$6:$A$304,$A35)</f>
        <v>0</v>
      </c>
      <c r="F35" s="45" t="n">
        <f aca="false">Painel!$C$6</f>
        <v>60</v>
      </c>
      <c r="G35" s="45" t="str">
        <f aca="false">IF($C35&gt;=$F35,"Sim","Não")</f>
        <v>Não</v>
      </c>
    </row>
    <row r="36" customFormat="false" ht="15" hidden="false" customHeight="false" outlineLevel="0" collapsed="false">
      <c r="A36" s="44" t="n">
        <f aca="true">TODAY()-13</f>
        <v>46267</v>
      </c>
      <c r="B36" s="45" t="str">
        <f aca="false">TEXT($A36,"ddd")</f>
        <v>Wed</v>
      </c>
      <c r="C36" s="46" t="n">
        <f aca="false">COUNTIFS(Ações!$N$6:$N$404,$A36,Ações!$O$6:$O$404,"Sim")</f>
        <v>0</v>
      </c>
      <c r="D36" s="45" t="n">
        <f aca="false">COUNTIF(Ações!$A$6:$A$404,$A36)</f>
        <v>0</v>
      </c>
      <c r="E36" s="45" t="n">
        <f aca="false">COUNTIF(Repercussão!$A$6:$A$304,$A36)</f>
        <v>0</v>
      </c>
      <c r="F36" s="45" t="n">
        <f aca="false">Painel!$C$6</f>
        <v>60</v>
      </c>
      <c r="G36" s="45" t="str">
        <f aca="false">IF($C36&gt;=$F36,"Sim","Não")</f>
        <v>Não</v>
      </c>
    </row>
    <row r="37" customFormat="false" ht="15" hidden="false" customHeight="false" outlineLevel="0" collapsed="false">
      <c r="A37" s="44" t="n">
        <f aca="true">TODAY()-12</f>
        <v>46268</v>
      </c>
      <c r="B37" s="45" t="str">
        <f aca="false">TEXT($A37,"ddd")</f>
        <v>Thu</v>
      </c>
      <c r="C37" s="46" t="n">
        <f aca="false">COUNTIFS(Ações!$N$6:$N$404,$A37,Ações!$O$6:$O$404,"Sim")</f>
        <v>0</v>
      </c>
      <c r="D37" s="45" t="n">
        <f aca="false">COUNTIF(Ações!$A$6:$A$404,$A37)</f>
        <v>0</v>
      </c>
      <c r="E37" s="45" t="n">
        <f aca="false">COUNTIF(Repercussão!$A$6:$A$304,$A37)</f>
        <v>0</v>
      </c>
      <c r="F37" s="45" t="n">
        <f aca="false">Painel!$C$6</f>
        <v>60</v>
      </c>
      <c r="G37" s="45" t="str">
        <f aca="false">IF($C37&gt;=$F37,"Sim","Não")</f>
        <v>Não</v>
      </c>
    </row>
    <row r="38" customFormat="false" ht="15" hidden="false" customHeight="false" outlineLevel="0" collapsed="false">
      <c r="A38" s="44" t="n">
        <f aca="true">TODAY()-11</f>
        <v>46269</v>
      </c>
      <c r="B38" s="45" t="str">
        <f aca="false">TEXT($A38,"ddd")</f>
        <v>Fri</v>
      </c>
      <c r="C38" s="46" t="n">
        <f aca="false">COUNTIFS(Ações!$N$6:$N$404,$A38,Ações!$O$6:$O$404,"Sim")</f>
        <v>0</v>
      </c>
      <c r="D38" s="45" t="n">
        <f aca="false">COUNTIF(Ações!$A$6:$A$404,$A38)</f>
        <v>0</v>
      </c>
      <c r="E38" s="45" t="n">
        <f aca="false">COUNTIF(Repercussão!$A$6:$A$304,$A38)</f>
        <v>0</v>
      </c>
      <c r="F38" s="45" t="n">
        <f aca="false">Painel!$C$6</f>
        <v>60</v>
      </c>
      <c r="G38" s="45" t="str">
        <f aca="false">IF($C38&gt;=$F38,"Sim","Não")</f>
        <v>Não</v>
      </c>
    </row>
    <row r="39" customFormat="false" ht="15" hidden="false" customHeight="false" outlineLevel="0" collapsed="false">
      <c r="A39" s="44" t="n">
        <f aca="true">TODAY()-10</f>
        <v>46270</v>
      </c>
      <c r="B39" s="45" t="str">
        <f aca="false">TEXT($A39,"ddd")</f>
        <v>Sat</v>
      </c>
      <c r="C39" s="46" t="n">
        <f aca="false">COUNTIFS(Ações!$N$6:$N$404,$A39,Ações!$O$6:$O$404,"Sim")</f>
        <v>0</v>
      </c>
      <c r="D39" s="45" t="n">
        <f aca="false">COUNTIF(Ações!$A$6:$A$404,$A39)</f>
        <v>0</v>
      </c>
      <c r="E39" s="45" t="n">
        <f aca="false">COUNTIF(Repercussão!$A$6:$A$304,$A39)</f>
        <v>0</v>
      </c>
      <c r="F39" s="45" t="n">
        <f aca="false">Painel!$C$6</f>
        <v>60</v>
      </c>
      <c r="G39" s="45" t="str">
        <f aca="false">IF($C39&gt;=$F39,"Sim","Não")</f>
        <v>Não</v>
      </c>
    </row>
    <row r="40" customFormat="false" ht="15" hidden="false" customHeight="false" outlineLevel="0" collapsed="false">
      <c r="A40" s="44" t="n">
        <f aca="true">TODAY()-9</f>
        <v>46271</v>
      </c>
      <c r="B40" s="45" t="str">
        <f aca="false">TEXT($A40,"ddd")</f>
        <v>Sun</v>
      </c>
      <c r="C40" s="46" t="n">
        <f aca="false">COUNTIFS(Ações!$N$6:$N$404,$A40,Ações!$O$6:$O$404,"Sim")</f>
        <v>0</v>
      </c>
      <c r="D40" s="45" t="n">
        <f aca="false">COUNTIF(Ações!$A$6:$A$404,$A40)</f>
        <v>0</v>
      </c>
      <c r="E40" s="45" t="n">
        <f aca="false">COUNTIF(Repercussão!$A$6:$A$304,$A40)</f>
        <v>0</v>
      </c>
      <c r="F40" s="45" t="n">
        <f aca="false">Painel!$C$6</f>
        <v>60</v>
      </c>
      <c r="G40" s="45" t="str">
        <f aca="false">IF($C40&gt;=$F40,"Sim","Não")</f>
        <v>Não</v>
      </c>
    </row>
    <row r="41" customFormat="false" ht="15" hidden="false" customHeight="false" outlineLevel="0" collapsed="false">
      <c r="A41" s="44" t="n">
        <f aca="true">TODAY()-8</f>
        <v>46272</v>
      </c>
      <c r="B41" s="45" t="str">
        <f aca="false">TEXT($A41,"ddd")</f>
        <v>Mon</v>
      </c>
      <c r="C41" s="46" t="n">
        <f aca="false">COUNTIFS(Ações!$N$6:$N$404,$A41,Ações!$O$6:$O$404,"Sim")</f>
        <v>0</v>
      </c>
      <c r="D41" s="45" t="n">
        <f aca="false">COUNTIF(Ações!$A$6:$A$404,$A41)</f>
        <v>0</v>
      </c>
      <c r="E41" s="45" t="n">
        <f aca="false">COUNTIF(Repercussão!$A$6:$A$304,$A41)</f>
        <v>0</v>
      </c>
      <c r="F41" s="45" t="n">
        <f aca="false">Painel!$C$6</f>
        <v>60</v>
      </c>
      <c r="G41" s="45" t="str">
        <f aca="false">IF($C41&gt;=$F41,"Sim","Não")</f>
        <v>Não</v>
      </c>
    </row>
    <row r="42" customFormat="false" ht="15" hidden="false" customHeight="false" outlineLevel="0" collapsed="false">
      <c r="A42" s="44" t="n">
        <f aca="true">TODAY()-7</f>
        <v>46273</v>
      </c>
      <c r="B42" s="45" t="str">
        <f aca="false">TEXT($A42,"ddd")</f>
        <v>Tue</v>
      </c>
      <c r="C42" s="46" t="n">
        <f aca="false">COUNTIFS(Ações!$N$6:$N$404,$A42,Ações!$O$6:$O$404,"Sim")</f>
        <v>0</v>
      </c>
      <c r="D42" s="45" t="n">
        <f aca="false">COUNTIF(Ações!$A$6:$A$404,$A42)</f>
        <v>0</v>
      </c>
      <c r="E42" s="45" t="n">
        <f aca="false">COUNTIF(Repercussão!$A$6:$A$304,$A42)</f>
        <v>0</v>
      </c>
      <c r="F42" s="45" t="n">
        <f aca="false">Painel!$C$6</f>
        <v>60</v>
      </c>
      <c r="G42" s="45" t="str">
        <f aca="false">IF($C42&gt;=$F42,"Sim","Não")</f>
        <v>Não</v>
      </c>
    </row>
    <row r="43" customFormat="false" ht="15" hidden="false" customHeight="false" outlineLevel="0" collapsed="false">
      <c r="A43" s="44" t="n">
        <f aca="true">TODAY()-6</f>
        <v>46274</v>
      </c>
      <c r="B43" s="45" t="str">
        <f aca="false">TEXT($A43,"ddd")</f>
        <v>Wed</v>
      </c>
      <c r="C43" s="46" t="n">
        <f aca="false">COUNTIFS(Ações!$N$6:$N$404,$A43,Ações!$O$6:$O$404,"Sim")</f>
        <v>0</v>
      </c>
      <c r="D43" s="45" t="n">
        <f aca="false">COUNTIF(Ações!$A$6:$A$404,$A43)</f>
        <v>0</v>
      </c>
      <c r="E43" s="45" t="n">
        <f aca="false">COUNTIF(Repercussão!$A$6:$A$304,$A43)</f>
        <v>0</v>
      </c>
      <c r="F43" s="45" t="n">
        <f aca="false">Painel!$C$6</f>
        <v>60</v>
      </c>
      <c r="G43" s="45" t="str">
        <f aca="false">IF($C43&gt;=$F43,"Sim","Não")</f>
        <v>Não</v>
      </c>
    </row>
    <row r="44" customFormat="false" ht="15" hidden="false" customHeight="false" outlineLevel="0" collapsed="false">
      <c r="A44" s="44" t="n">
        <f aca="true">TODAY()-5</f>
        <v>46275</v>
      </c>
      <c r="B44" s="45" t="str">
        <f aca="false">TEXT($A44,"ddd")</f>
        <v>Thu</v>
      </c>
      <c r="C44" s="46" t="n">
        <f aca="false">COUNTIFS(Ações!$N$6:$N$404,$A44,Ações!$O$6:$O$404,"Sim")</f>
        <v>0</v>
      </c>
      <c r="D44" s="45" t="n">
        <f aca="false">COUNTIF(Ações!$A$6:$A$404,$A44)</f>
        <v>0</v>
      </c>
      <c r="E44" s="45" t="n">
        <f aca="false">COUNTIF(Repercussão!$A$6:$A$304,$A44)</f>
        <v>0</v>
      </c>
      <c r="F44" s="45" t="n">
        <f aca="false">Painel!$C$6</f>
        <v>60</v>
      </c>
      <c r="G44" s="45" t="str">
        <f aca="false">IF($C44&gt;=$F44,"Sim","Não")</f>
        <v>Não</v>
      </c>
    </row>
    <row r="45" customFormat="false" ht="15" hidden="false" customHeight="false" outlineLevel="0" collapsed="false">
      <c r="A45" s="44" t="n">
        <f aca="true">TODAY()-4</f>
        <v>46276</v>
      </c>
      <c r="B45" s="45" t="str">
        <f aca="false">TEXT($A45,"ddd")</f>
        <v>Fri</v>
      </c>
      <c r="C45" s="46" t="n">
        <f aca="false">COUNTIFS(Ações!$N$6:$N$404,$A45,Ações!$O$6:$O$404,"Sim")</f>
        <v>0</v>
      </c>
      <c r="D45" s="45" t="n">
        <f aca="false">COUNTIF(Ações!$A$6:$A$404,$A45)</f>
        <v>0</v>
      </c>
      <c r="E45" s="45" t="n">
        <f aca="false">COUNTIF(Repercussão!$A$6:$A$304,$A45)</f>
        <v>0</v>
      </c>
      <c r="F45" s="45" t="n">
        <f aca="false">Painel!$C$6</f>
        <v>60</v>
      </c>
      <c r="G45" s="45" t="str">
        <f aca="false">IF($C45&gt;=$F45,"Sim","Não")</f>
        <v>Não</v>
      </c>
    </row>
    <row r="46" customFormat="false" ht="15" hidden="false" customHeight="false" outlineLevel="0" collapsed="false">
      <c r="A46" s="44" t="n">
        <f aca="true">TODAY()-3</f>
        <v>46277</v>
      </c>
      <c r="B46" s="45" t="str">
        <f aca="false">TEXT($A46,"ddd")</f>
        <v>Sat</v>
      </c>
      <c r="C46" s="46" t="n">
        <f aca="false">COUNTIFS(Ações!$N$6:$N$404,$A46,Ações!$O$6:$O$404,"Sim")</f>
        <v>0</v>
      </c>
      <c r="D46" s="45" t="n">
        <f aca="false">COUNTIF(Ações!$A$6:$A$404,$A46)</f>
        <v>0</v>
      </c>
      <c r="E46" s="45" t="n">
        <f aca="false">COUNTIF(Repercussão!$A$6:$A$304,$A46)</f>
        <v>0</v>
      </c>
      <c r="F46" s="45" t="n">
        <f aca="false">Painel!$C$6</f>
        <v>60</v>
      </c>
      <c r="G46" s="45" t="str">
        <f aca="false">IF($C46&gt;=$F46,"Sim","Não")</f>
        <v>Não</v>
      </c>
    </row>
    <row r="47" customFormat="false" ht="15" hidden="false" customHeight="false" outlineLevel="0" collapsed="false">
      <c r="A47" s="44" t="n">
        <f aca="true">TODAY()-2</f>
        <v>46278</v>
      </c>
      <c r="B47" s="45" t="str">
        <f aca="false">TEXT($A47,"ddd")</f>
        <v>Sun</v>
      </c>
      <c r="C47" s="46" t="n">
        <f aca="false">COUNTIFS(Ações!$N$6:$N$404,$A47,Ações!$O$6:$O$404,"Sim")</f>
        <v>0</v>
      </c>
      <c r="D47" s="45" t="n">
        <f aca="false">COUNTIF(Ações!$A$6:$A$404,$A47)</f>
        <v>0</v>
      </c>
      <c r="E47" s="45" t="n">
        <f aca="false">COUNTIF(Repercussão!$A$6:$A$304,$A47)</f>
        <v>0</v>
      </c>
      <c r="F47" s="45" t="n">
        <f aca="false">Painel!$C$6</f>
        <v>60</v>
      </c>
      <c r="G47" s="45" t="str">
        <f aca="false">IF($C47&gt;=$F47,"Sim","Não")</f>
        <v>Não</v>
      </c>
    </row>
    <row r="48" customFormat="false" ht="15" hidden="false" customHeight="false" outlineLevel="0" collapsed="false">
      <c r="A48" s="44" t="n">
        <f aca="true">TODAY()-1</f>
        <v>46279</v>
      </c>
      <c r="B48" s="45" t="str">
        <f aca="false">TEXT($A48,"ddd")</f>
        <v>Mon</v>
      </c>
      <c r="C48" s="46" t="n">
        <f aca="false">COUNTIFS(Ações!$N$6:$N$404,$A48,Ações!$O$6:$O$404,"Sim")</f>
        <v>0</v>
      </c>
      <c r="D48" s="45" t="n">
        <f aca="false">COUNTIF(Ações!$A$6:$A$404,$A48)</f>
        <v>0</v>
      </c>
      <c r="E48" s="45" t="n">
        <f aca="false">COUNTIF(Repercussão!$A$6:$A$304,$A48)</f>
        <v>0</v>
      </c>
      <c r="F48" s="45" t="n">
        <f aca="false">Painel!$C$6</f>
        <v>60</v>
      </c>
      <c r="G48" s="45" t="str">
        <f aca="false">IF($C48&gt;=$F48,"Sim","Não")</f>
        <v>Não</v>
      </c>
    </row>
    <row r="49" customFormat="false" ht="15" hidden="false" customHeight="false" outlineLevel="0" collapsed="false">
      <c r="A49" s="44" t="n">
        <f aca="true">TODAY()-0</f>
        <v>46280</v>
      </c>
      <c r="B49" s="45" t="str">
        <f aca="false">TEXT($A49,"ddd")</f>
        <v>Tue</v>
      </c>
      <c r="C49" s="46" t="n">
        <f aca="false">COUNTIFS(Ações!$N$6:$N$404,$A49,Ações!$O$6:$O$404,"Sim")</f>
        <v>0</v>
      </c>
      <c r="D49" s="45" t="n">
        <f aca="false">COUNTIF(Ações!$A$6:$A$404,$A49)</f>
        <v>0</v>
      </c>
      <c r="E49" s="45" t="n">
        <f aca="false">COUNTIF(Repercussão!$A$6:$A$304,$A49)</f>
        <v>0</v>
      </c>
      <c r="F49" s="45" t="n">
        <f aca="false">Painel!$C$6</f>
        <v>60</v>
      </c>
      <c r="G49" s="45" t="str">
        <f aca="false">IF($C49&gt;=$F49,"Sim","Não")</f>
        <v>Não</v>
      </c>
    </row>
  </sheetData>
  <conditionalFormatting sqref="A5:G49">
    <cfRule type="expression" priority="2" aboveAverage="0" equalAverage="0" bottom="0" percent="0" rank="0" text="" dxfId="14">
      <formula>$A5=TODAY()</formula>
    </cfRule>
    <cfRule type="expression" priority="3" aboveAverage="0" equalAverage="0" bottom="0" percent="0" rank="0" text="" dxfId="15">
      <formula>AND($A5&gt;=$R$5,$A5&lt;=$S$5)</formula>
    </cfRule>
  </conditionalFormatting>
  <conditionalFormatting sqref="C5:C49">
    <cfRule type="colorScale" priority="4">
      <colorScale>
        <cfvo type="min" val="0"/>
        <cfvo type="max" val="0"/>
        <color rgb="FFFFFFFF"/>
        <color rgb="FF93A6EE"/>
      </colorScale>
    </cfRule>
  </conditionalFormatting>
  <conditionalFormatting sqref="G5:G49">
    <cfRule type="expression" priority="5" aboveAverage="0" equalAverage="0" bottom="0" percent="0" rank="0" text="" dxfId="11">
      <formula>$G5="Sim"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2026-09-15T13:13:00Z</dcterms:created>
  <dc:creator>openpyxl</dc:creator>
  <dc:description/>
  <dc:language>en-US</dc:language>
  <cp:lastModifiedBy/>
  <dcterms:modified xsi:type="dcterms:W3CDTF">2026-09-15T13:13:03Z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